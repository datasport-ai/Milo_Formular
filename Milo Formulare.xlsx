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pie von Users" sheetId="1" r:id="rId5"/>
    <sheet state="visible" name="Responses_dropout" sheetId="2" r:id="rId6"/>
    <sheet state="visible" name="Responses_inactive" sheetId="3" r:id="rId7"/>
    <sheet state="visible" name="Responses_active" sheetId="4" r:id="rId8"/>
  </sheets>
  <definedNames>
    <definedName hidden="1" localSheetId="0" name="_xlnm._FilterDatabase">'Kopie von Users'!$A$1:$J$217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tc={35dc5929-83c2-4ba4-bb27-865449500519}</author>
    <author>tc={629a758f-04bd-42d5-9086-8c465ccb5a6f}</author>
  </authors>
  <commentList>
    <comment authorId="0" xr:uid="{35dc5929-83c2-4ba4-bb27-865449500519}" ref="A1">
      <text>
        <t xml:space="preserve">[Threaded comment]
 Your version of Excel allows you to read this threaded comment; however, any edits to it will get removed if the file is opened in a newer version of Excel. Learn more: https://go.microsoft.com/fwlink/?linkid=870924
Comment:
	manuellement pris ceux qui sont inscrits depuis moins de 2 semaines et ensuite filtré ceux qui ont loggé plus de 50% des activités
</t>
      </text>
    </comment>
    <comment authorId="1" xr:uid="{629a758f-04bd-42d5-9086-8c465ccb5a6f}" ref="I1">
      <text>
        <t xml:space="preserve">[Threaded comment]
 Your version of Excel allows you to read this threaded comment; however, any edits to it will get removed if the file is opened in a newer version of Excel. Learn more: https://go.microsoft.com/fwlink/?linkid=870924
Comment:
	fichier à utiliser
</t>
      </text>
    </comment>
  </commentList>
</comments>
</file>

<file path=xl/sharedStrings.xml><?xml version="1.0" encoding="utf-8"?>
<sst xmlns="http://schemas.openxmlformats.org/spreadsheetml/2006/main" count="1405" uniqueCount="783">
  <si>
    <t>email</t>
  </si>
  <si>
    <t>first_name</t>
  </si>
  <si>
    <t>last_name</t>
  </si>
  <si>
    <t>onboarding_completed_at</t>
  </si>
  <si>
    <t>onboarding_completed</t>
  </si>
  <si>
    <t>onboarding_step</t>
  </si>
  <si>
    <t>planned_trainings</t>
  </si>
  <si>
    <t>logged_trainings</t>
  </si>
  <si>
    <t>link</t>
  </si>
  <si>
    <t>active?</t>
  </si>
  <si>
    <t>a.krenger@gmx.net</t>
  </si>
  <si>
    <t>André</t>
  </si>
  <si>
    <t>Krenger</t>
  </si>
  <si>
    <t>Yes</t>
  </si>
  <si>
    <t>COMPLETED</t>
  </si>
  <si>
    <t>a.werren@bluewin.ch</t>
  </si>
  <si>
    <t>Werren</t>
  </si>
  <si>
    <t>abbar.therence@gmail.com</t>
  </si>
  <si>
    <t>Therence</t>
  </si>
  <si>
    <t>Abbar</t>
  </si>
  <si>
    <t>No</t>
  </si>
  <si>
    <t>WEARABLE_CONNECTION</t>
  </si>
  <si>
    <t>not onboarded</t>
  </si>
  <si>
    <t>agabrzezinska@wp.pl</t>
  </si>
  <si>
    <t>Agnieszka</t>
  </si>
  <si>
    <t>Slonczewski</t>
  </si>
  <si>
    <t>aimee.pa@bluewin.ch</t>
  </si>
  <si>
    <t>Aimée</t>
  </si>
  <si>
    <t>Pfyffer</t>
  </si>
  <si>
    <t>RESULTS_PERMISSION</t>
  </si>
  <si>
    <t>alain.zahnd@bluewin.ch</t>
  </si>
  <si>
    <t>Alain</t>
  </si>
  <si>
    <t>Zahnd</t>
  </si>
  <si>
    <t>alessia.agostina@gmail.com</t>
  </si>
  <si>
    <t>Alessia</t>
  </si>
  <si>
    <t>Agostini</t>
  </si>
  <si>
    <t>alessio.mihalic@libero.it</t>
  </si>
  <si>
    <t>Alessio</t>
  </si>
  <si>
    <t>Mihalic</t>
  </si>
  <si>
    <t>WEEKLY_SCHEDULE</t>
  </si>
  <si>
    <t>alex@hyrox.com</t>
  </si>
  <si>
    <t>Alex</t>
  </si>
  <si>
    <t>Rausch</t>
  </si>
  <si>
    <t>alexbernasconi63@gmail.com</t>
  </si>
  <si>
    <t>Bernasconi</t>
  </si>
  <si>
    <t>andrea-giovanni@hotmail.com</t>
  </si>
  <si>
    <t>Andrea-Giovanni</t>
  </si>
  <si>
    <t>Mattarelli</t>
  </si>
  <si>
    <t>andrea.menardo@gmail.com</t>
  </si>
  <si>
    <t>Andrea</t>
  </si>
  <si>
    <t>Menardo</t>
  </si>
  <si>
    <t>andres.upegui@gmail.com</t>
  </si>
  <si>
    <t>Andres</t>
  </si>
  <si>
    <t>Upegui</t>
  </si>
  <si>
    <t>anja_matiza@yahoo.de</t>
  </si>
  <si>
    <t>Zaugg</t>
  </si>
  <si>
    <t>anke.leekens@gmail.com</t>
  </si>
  <si>
    <t>Anke</t>
  </si>
  <si>
    <t>Leekens</t>
  </si>
  <si>
    <t>aurelia.kraus@gmail.com</t>
  </si>
  <si>
    <t>Aurelia</t>
  </si>
  <si>
    <t>Kraus</t>
  </si>
  <si>
    <t>b.lelp@bluewin.ch</t>
  </si>
  <si>
    <t>Benjamin</t>
  </si>
  <si>
    <t>Lemp</t>
  </si>
  <si>
    <t>b.verhaeghe1803@gmail.com</t>
  </si>
  <si>
    <t>Bertille</t>
  </si>
  <si>
    <t>Verhaeghe</t>
  </si>
  <si>
    <t>bernardbryan1@gmail.com</t>
  </si>
  <si>
    <t>Bryan</t>
  </si>
  <si>
    <t>Bernard</t>
  </si>
  <si>
    <t>START_DATE</t>
  </si>
  <si>
    <t>bernardesvera83@gmail.com</t>
  </si>
  <si>
    <t>Vera</t>
  </si>
  <si>
    <t>Burnand</t>
  </si>
  <si>
    <t>GOAL_SETTING</t>
  </si>
  <si>
    <t>binetti_laura@hotmail.com</t>
  </si>
  <si>
    <t>Laura</t>
  </si>
  <si>
    <t>Binetti</t>
  </si>
  <si>
    <t>brueggerk@hotmail.com</t>
  </si>
  <si>
    <t>Kathrin</t>
  </si>
  <si>
    <t>Brügger</t>
  </si>
  <si>
    <t>c.alejandra.flueckiger@gmaiil.com</t>
  </si>
  <si>
    <t>Carol</t>
  </si>
  <si>
    <t>Flückiger</t>
  </si>
  <si>
    <t>C.daellenbach@gmx.net</t>
  </si>
  <si>
    <t>Christian</t>
  </si>
  <si>
    <t>Dällenbach</t>
  </si>
  <si>
    <t>c.massy@hotmail.com</t>
  </si>
  <si>
    <t>Celine</t>
  </si>
  <si>
    <t>Massy</t>
  </si>
  <si>
    <t>camille98.lds@gmail.com</t>
  </si>
  <si>
    <t>Camille</t>
  </si>
  <si>
    <t>Lopes Dos Santos</t>
  </si>
  <si>
    <t>cepitaux@hotmail.com</t>
  </si>
  <si>
    <t>Charlotte</t>
  </si>
  <si>
    <t>Emery</t>
  </si>
  <si>
    <t>christof.franz.xaver.hofmann@gmail.com</t>
  </si>
  <si>
    <t>Christof</t>
  </si>
  <si>
    <t>Hofmann</t>
  </si>
  <si>
    <t>christoph.gysel@solnet.ch</t>
  </si>
  <si>
    <t>Christoph</t>
  </si>
  <si>
    <t>Gysel</t>
  </si>
  <si>
    <t>christoph@padel.ch</t>
  </si>
  <si>
    <t>Padel</t>
  </si>
  <si>
    <t>chronos88@bluewin.ch</t>
  </si>
  <si>
    <t>Roger</t>
  </si>
  <si>
    <t>Riedo</t>
  </si>
  <si>
    <t>ciccolini.olivier@free.fr</t>
  </si>
  <si>
    <t>Olivier</t>
  </si>
  <si>
    <t>Ciccolini</t>
  </si>
  <si>
    <t>clganser@bluewin.ch</t>
  </si>
  <si>
    <t>Claudia</t>
  </si>
  <si>
    <t>Ganser</t>
  </si>
  <si>
    <t>cnszp.mrket@gmail.com</t>
  </si>
  <si>
    <t>Nicolas</t>
  </si>
  <si>
    <t>Canas Zapata</t>
  </si>
  <si>
    <t>d.diachenko+1@flex-solution.com</t>
  </si>
  <si>
    <t>Dima</t>
  </si>
  <si>
    <t>D</t>
  </si>
  <si>
    <t>daniel.menghini@mac.com</t>
  </si>
  <si>
    <t>Daniel</t>
  </si>
  <si>
    <t>Menghini</t>
  </si>
  <si>
    <t>daniel.schweizer@me.com</t>
  </si>
  <si>
    <t>Schweizer</t>
  </si>
  <si>
    <t>Danieladoerner@hotmail.com</t>
  </si>
  <si>
    <t>Daniela</t>
  </si>
  <si>
    <t>Dörner</t>
  </si>
  <si>
    <t>Daninela@gmx.ch</t>
  </si>
  <si>
    <t>Frank</t>
  </si>
  <si>
    <t>delacroix.victor@outlook.fr</t>
  </si>
  <si>
    <t>Victor</t>
  </si>
  <si>
    <t>Delacroix</t>
  </si>
  <si>
    <t>denise.marti@gawnet.ch</t>
  </si>
  <si>
    <t>Denise</t>
  </si>
  <si>
    <t>Marti</t>
  </si>
  <si>
    <t>dieter.herzog@bluewin.ch</t>
  </si>
  <si>
    <t>Dieter</t>
  </si>
  <si>
    <t>Herzog</t>
  </si>
  <si>
    <t>dombarras@gmail.com</t>
  </si>
  <si>
    <t>Dominique</t>
  </si>
  <si>
    <t>Barras</t>
  </si>
  <si>
    <t>dominik.egloff@bluewin.ch</t>
  </si>
  <si>
    <t>Dominik</t>
  </si>
  <si>
    <t>Egloff</t>
  </si>
  <si>
    <t>donghiag@hotmail.it</t>
  </si>
  <si>
    <t>Gianfranco</t>
  </si>
  <si>
    <t>D'Onghia</t>
  </si>
  <si>
    <t>dremund@hotmail.ch</t>
  </si>
  <si>
    <t>Remund</t>
  </si>
  <si>
    <t>CONTACT_PREFERENCES</t>
  </si>
  <si>
    <t>eduardo.peire@gmail.com</t>
  </si>
  <si>
    <t>Eduardo</t>
  </si>
  <si>
    <t>Peire</t>
  </si>
  <si>
    <t>eichler.sarah@gmx.ch</t>
  </si>
  <si>
    <t>Sarah</t>
  </si>
  <si>
    <t>Eichler</t>
  </si>
  <si>
    <t>eldon71@hotmail.fr</t>
  </si>
  <si>
    <t>Timothée</t>
  </si>
  <si>
    <t>Antiga</t>
  </si>
  <si>
    <t>elodie.guillarme@wanadoo.fr</t>
  </si>
  <si>
    <t>Elodie</t>
  </si>
  <si>
    <t>dietz</t>
  </si>
  <si>
    <t>erdovolgyi.sz.txl@gmail.com</t>
  </si>
  <si>
    <t>Szabolcs</t>
  </si>
  <si>
    <t>Erdővölgyi</t>
  </si>
  <si>
    <t>f.morger@gmx.ch</t>
  </si>
  <si>
    <t>Franziska</t>
  </si>
  <si>
    <t>Morger</t>
  </si>
  <si>
    <t>fabiana.gomba@gmail.com</t>
  </si>
  <si>
    <t>Fabiana</t>
  </si>
  <si>
    <t>Gomba</t>
  </si>
  <si>
    <t>Fabienne.caluori@outlook.com</t>
  </si>
  <si>
    <t>Fabienne</t>
  </si>
  <si>
    <t>Caluori</t>
  </si>
  <si>
    <t>fabrice.fajon@fer-ge.ch</t>
  </si>
  <si>
    <t>Fabrice</t>
  </si>
  <si>
    <t>Fajon</t>
  </si>
  <si>
    <t>fanny.morend@hotmail.com</t>
  </si>
  <si>
    <t>Fanny</t>
  </si>
  <si>
    <t>Morend</t>
  </si>
  <si>
    <t>fannygenetelli@gmail.com</t>
  </si>
  <si>
    <t>Genetelli</t>
  </si>
  <si>
    <t>filipe.azevedo.1212@hotmail.com</t>
  </si>
  <si>
    <t>Filipe</t>
  </si>
  <si>
    <t>Azevedo Teixeira</t>
  </si>
  <si>
    <t>florent.dufaux@bluewin.ch</t>
  </si>
  <si>
    <t>Florent</t>
  </si>
  <si>
    <t>Dufaux</t>
  </si>
  <si>
    <t>Gadalexsa@tuta.io</t>
  </si>
  <si>
    <t>Vitalii</t>
  </si>
  <si>
    <t>Gadii</t>
  </si>
  <si>
    <t>gaellepre07@gmail.com</t>
  </si>
  <si>
    <t>Gaëlle</t>
  </si>
  <si>
    <t>Prélaz</t>
  </si>
  <si>
    <t>OTHER_SPORT_TYPES</t>
  </si>
  <si>
    <t>georges.goujon06@gmail.com</t>
  </si>
  <si>
    <t>Georges</t>
  </si>
  <si>
    <t>giorgia.stoira@bluewin.ch</t>
  </si>
  <si>
    <t>Giorgia</t>
  </si>
  <si>
    <t>Stoira</t>
  </si>
  <si>
    <t>giovanniberselli@bluewin.ch</t>
  </si>
  <si>
    <t>Giovanni</t>
  </si>
  <si>
    <t>Berselli</t>
  </si>
  <si>
    <t>ARE_YOU_READY_FOR_THE_NEXT_CHALLENGE</t>
  </si>
  <si>
    <t>guenther.salathe@swisscom.com</t>
  </si>
  <si>
    <t>Günther</t>
  </si>
  <si>
    <t>Salathe</t>
  </si>
  <si>
    <t>HOW_FAST_CAN_YOU_RUN</t>
  </si>
  <si>
    <t>h-und-m@bluewin.ch</t>
  </si>
  <si>
    <t>Miriam</t>
  </si>
  <si>
    <t>Rickli</t>
  </si>
  <si>
    <t>hanspeter.frey@hfwriting.ch</t>
  </si>
  <si>
    <t>Hanspeter</t>
  </si>
  <si>
    <t>Frey</t>
  </si>
  <si>
    <t>hardy.rohr@gmail.com</t>
  </si>
  <si>
    <t>Hardy</t>
  </si>
  <si>
    <t>Rohr</t>
  </si>
  <si>
    <t>hess.noemie@gmail.com</t>
  </si>
  <si>
    <t>Noémie</t>
  </si>
  <si>
    <t>Hess</t>
  </si>
  <si>
    <t>imeschkevin@gmail.com</t>
  </si>
  <si>
    <t>Kevin</t>
  </si>
  <si>
    <t>Imesch</t>
  </si>
  <si>
    <t>ineshaueter@yahoo.de</t>
  </si>
  <si>
    <t>Ines</t>
  </si>
  <si>
    <t>Haueter</t>
  </si>
  <si>
    <t>info@vecchie.ch</t>
  </si>
  <si>
    <t>Ramiro</t>
  </si>
  <si>
    <t>Vecchié</t>
  </si>
  <si>
    <t>irfanuyar@gmail.com</t>
  </si>
  <si>
    <t>Irfan</t>
  </si>
  <si>
    <t>Uyar</t>
  </si>
  <si>
    <t>jakobkurmann1965@gmail.com</t>
  </si>
  <si>
    <t>Jakob</t>
  </si>
  <si>
    <t>Kurmann</t>
  </si>
  <si>
    <t>jasmin.ott1993@gmail.com</t>
  </si>
  <si>
    <t>Jasmin</t>
  </si>
  <si>
    <t>Ott</t>
  </si>
  <si>
    <t>jboeniger@bluewin.ch</t>
  </si>
  <si>
    <t>Jacques</t>
  </si>
  <si>
    <t>Böniger</t>
  </si>
  <si>
    <t>jdesbordes01@gmail.com</t>
  </si>
  <si>
    <t>Julien</t>
  </si>
  <si>
    <t>Desbordes</t>
  </si>
  <si>
    <t>WEIGHT</t>
  </si>
  <si>
    <t>jil.haeusler@gmail.com</t>
  </si>
  <si>
    <t>Jil</t>
  </si>
  <si>
    <t>Häusler</t>
  </si>
  <si>
    <t>MAX_HEART_RATE_BPM</t>
  </si>
  <si>
    <t>Jobin.julien@gmail.com</t>
  </si>
  <si>
    <t>Jobin</t>
  </si>
  <si>
    <t>joelle.celine@bluewin.ch</t>
  </si>
  <si>
    <t>Joëlle</t>
  </si>
  <si>
    <t>Schmid</t>
  </si>
  <si>
    <t>jordan.madelein@bluewin.ch</t>
  </si>
  <si>
    <t>Madeleine</t>
  </si>
  <si>
    <t>Jordan</t>
  </si>
  <si>
    <t>jordano_abreu@yahoo.com</t>
  </si>
  <si>
    <t>Jordano</t>
  </si>
  <si>
    <t>Martinez Abreu</t>
  </si>
  <si>
    <t>juliagolaz@gmail.com</t>
  </si>
  <si>
    <t>Julia</t>
  </si>
  <si>
    <t>Golaz</t>
  </si>
  <si>
    <t>justineann.sanchez13@gmail.com</t>
  </si>
  <si>
    <t>Justine Ann Lemon</t>
  </si>
  <si>
    <t>Sanchez</t>
  </si>
  <si>
    <t>k.becher1096@gmail.com</t>
  </si>
  <si>
    <t>Katharina</t>
  </si>
  <si>
    <t>Becher</t>
  </si>
  <si>
    <t>karin.schwab@besonet.ch</t>
  </si>
  <si>
    <t>Karin</t>
  </si>
  <si>
    <t>Schwab</t>
  </si>
  <si>
    <t>karin@atriox.com</t>
  </si>
  <si>
    <t>Snycerski</t>
  </si>
  <si>
    <t>kat_tam@hotmail.com</t>
  </si>
  <si>
    <t>Katia</t>
  </si>
  <si>
    <t>Tamburini</t>
  </si>
  <si>
    <t>kiramueller@datasport.com</t>
  </si>
  <si>
    <t>Kira</t>
  </si>
  <si>
    <t>Revete Muller</t>
  </si>
  <si>
    <t>l.gandini75@gmail.com</t>
  </si>
  <si>
    <t>Luca</t>
  </si>
  <si>
    <t>Gandini</t>
  </si>
  <si>
    <t>EVENT_SELECTION</t>
  </si>
  <si>
    <t>ladina-grob@bluewin.ch</t>
  </si>
  <si>
    <t>Ladina</t>
  </si>
  <si>
    <t>Grob</t>
  </si>
  <si>
    <t>lamberix@outlook.com</t>
  </si>
  <si>
    <t>Lamberix</t>
  </si>
  <si>
    <t>laura.ciavare@gmail.com</t>
  </si>
  <si>
    <t>Ciavarella</t>
  </si>
  <si>
    <t>laurachwe@gmail.com</t>
  </si>
  <si>
    <t>Weber</t>
  </si>
  <si>
    <t>leila.bersier@protonmail.com</t>
  </si>
  <si>
    <t>Leila</t>
  </si>
  <si>
    <t>Bersier</t>
  </si>
  <si>
    <t>EXPERIENCE_LEVEL</t>
  </si>
  <si>
    <t>Leila.Soravia@gmail.com</t>
  </si>
  <si>
    <t>Soravia</t>
  </si>
  <si>
    <t>lemercier.teixeira@gmail.com</t>
  </si>
  <si>
    <t>Vincent</t>
  </si>
  <si>
    <t>Lemercier</t>
  </si>
  <si>
    <t>lgogniat@datasport.com</t>
  </si>
  <si>
    <t>Lorin</t>
  </si>
  <si>
    <t>Gogniat</t>
  </si>
  <si>
    <t>liline1212@hotmail.com</t>
  </si>
  <si>
    <t>Marylin</t>
  </si>
  <si>
    <t>Pichonnaz</t>
  </si>
  <si>
    <t>liv.bachofner@gmail.com</t>
  </si>
  <si>
    <t>Liv</t>
  </si>
  <si>
    <t>Bachofner</t>
  </si>
  <si>
    <t>loretzjohannazipora@gmail.com</t>
  </si>
  <si>
    <t>Johanna</t>
  </si>
  <si>
    <t>Loretz</t>
  </si>
  <si>
    <t>loriswalder4@gmail.com</t>
  </si>
  <si>
    <t>Loris</t>
  </si>
  <si>
    <t>Walder</t>
  </si>
  <si>
    <t>ltiepolo65@gmail.com</t>
  </si>
  <si>
    <t>Tiepolo</t>
  </si>
  <si>
    <t>ltrees@datasport.com</t>
  </si>
  <si>
    <t>Lisa</t>
  </si>
  <si>
    <t>Trees</t>
  </si>
  <si>
    <t>m.peters96@aol.com</t>
  </si>
  <si>
    <t>Michael</t>
  </si>
  <si>
    <t>Peters</t>
  </si>
  <si>
    <t>malet.raphael@gmail.com</t>
  </si>
  <si>
    <t>Raphaël</t>
  </si>
  <si>
    <t>Malet</t>
  </si>
  <si>
    <t>malin.ekdahl@gmx.ch</t>
  </si>
  <si>
    <t>Malin</t>
  </si>
  <si>
    <t>Ekdahl</t>
  </si>
  <si>
    <t>malux75@gmail.com</t>
  </si>
  <si>
    <t>Marzia</t>
  </si>
  <si>
    <t>Lucianer</t>
  </si>
  <si>
    <t>marc_francillon@yahoo.fr</t>
  </si>
  <si>
    <t>Marc</t>
  </si>
  <si>
    <t>Francillon</t>
  </si>
  <si>
    <t>marc.weber449@gmail.com</t>
  </si>
  <si>
    <t>MARC</t>
  </si>
  <si>
    <t>WEBER</t>
  </si>
  <si>
    <t>marcel.chr@gmail.com</t>
  </si>
  <si>
    <t>Marcel</t>
  </si>
  <si>
    <t>marcel.urquizo@gmail.com</t>
  </si>
  <si>
    <t>Urquizo</t>
  </si>
  <si>
    <t>marci.hohl@gmail.com</t>
  </si>
  <si>
    <t>Marcy</t>
  </si>
  <si>
    <t>Hohl</t>
  </si>
  <si>
    <t>marijehoekstra@hotmail.com</t>
  </si>
  <si>
    <t>Marije</t>
  </si>
  <si>
    <t>Hoekstra</t>
  </si>
  <si>
    <t>marion.fiorucci@yahoo.com</t>
  </si>
  <si>
    <t>Marion</t>
  </si>
  <si>
    <t>Fiorucci</t>
  </si>
  <si>
    <t>Marjorie.seewer@gmail.com</t>
  </si>
  <si>
    <t>Marjorie</t>
  </si>
  <si>
    <t>Seewer</t>
  </si>
  <si>
    <t>martin.mock@gmx.ch</t>
  </si>
  <si>
    <t>Martin</t>
  </si>
  <si>
    <t>Mock</t>
  </si>
  <si>
    <t>Martin.scherrer+prod1@yooture.com</t>
  </si>
  <si>
    <t>Scherrer</t>
  </si>
  <si>
    <t>mateydjadjev74@gmail.com</t>
  </si>
  <si>
    <t>Matey</t>
  </si>
  <si>
    <t>Djadjev</t>
  </si>
  <si>
    <t>matteoc4@hotmail.com</t>
  </si>
  <si>
    <t>Matteo</t>
  </si>
  <si>
    <t>Caregnato</t>
  </si>
  <si>
    <t>mbthomas97@gmail.com</t>
  </si>
  <si>
    <t>Thomas</t>
  </si>
  <si>
    <t>mel1ni5@hotmail.com</t>
  </si>
  <si>
    <t>Melanie</t>
  </si>
  <si>
    <t>Spori</t>
  </si>
  <si>
    <t>messerliaurelie12@gmail.com</t>
  </si>
  <si>
    <t>Aurelie</t>
  </si>
  <si>
    <t>Jotterand</t>
  </si>
  <si>
    <t>michael@haerdi.ch</t>
  </si>
  <si>
    <t>Härdi</t>
  </si>
  <si>
    <t>mikimiku201@gmail.com</t>
  </si>
  <si>
    <t>Melkias</t>
  </si>
  <si>
    <t>Afeworki</t>
  </si>
  <si>
    <t>morten.toft@ultimate.dk</t>
  </si>
  <si>
    <t>Morten</t>
  </si>
  <si>
    <t>Toft</t>
  </si>
  <si>
    <t>mota.jerome@me.com</t>
  </si>
  <si>
    <t>Jérôme</t>
  </si>
  <si>
    <t>Mota</t>
  </si>
  <si>
    <t>mpbettoni@gmail.com</t>
  </si>
  <si>
    <t>Bettoni</t>
  </si>
  <si>
    <t>mrtnscherrer@gmail.com</t>
  </si>
  <si>
    <t>mscherrer+1@datasport.com</t>
  </si>
  <si>
    <t>garmin</t>
  </si>
  <si>
    <t>mscherrer+corosprod@datasport.com</t>
  </si>
  <si>
    <t>mscherrer+fitbitprod@datasport.com</t>
  </si>
  <si>
    <t>mscherrer+flughafen@datasport.com</t>
  </si>
  <si>
    <t>Martina</t>
  </si>
  <si>
    <t>Biehle</t>
  </si>
  <si>
    <t>mscherrer+garminprod2@datasport.com</t>
  </si>
  <si>
    <t>Josef</t>
  </si>
  <si>
    <t>Maximilian</t>
  </si>
  <si>
    <t>mscherrer+new@datasport.com</t>
  </si>
  <si>
    <t>mscherrer+onboarding@datasport.com</t>
  </si>
  <si>
    <t>Müller</t>
  </si>
  <si>
    <t>mscherrer+pfa@datasport.com</t>
  </si>
  <si>
    <t>mscherrer+polarprod@datasport.com</t>
  </si>
  <si>
    <t>mscherrer+prodnew@datasport.com</t>
  </si>
  <si>
    <t>mscherrer+suuntoprod@datasport.com</t>
  </si>
  <si>
    <t>mudlaffz@gmail.com</t>
  </si>
  <si>
    <t>Zdzislaw</t>
  </si>
  <si>
    <t>Mudlaff</t>
  </si>
  <si>
    <t>muriel.rolle@hotmail.com</t>
  </si>
  <si>
    <t>Muriel</t>
  </si>
  <si>
    <t>Sauteur</t>
  </si>
  <si>
    <t>muwangassevume@gmail.com</t>
  </si>
  <si>
    <t>Stephen</t>
  </si>
  <si>
    <t>Muwanga-Ssevume</t>
  </si>
  <si>
    <t>Nadia.oulaby@gmail.com</t>
  </si>
  <si>
    <t>Nadia</t>
  </si>
  <si>
    <t>Oulaby Lara</t>
  </si>
  <si>
    <t>nassima.lymani@gmail.com</t>
  </si>
  <si>
    <t>Nassima</t>
  </si>
  <si>
    <t>BELHAJ</t>
  </si>
  <si>
    <t>nath-m@bluewin.ch</t>
  </si>
  <si>
    <t>Nathanaëlle</t>
  </si>
  <si>
    <t>Savoy</t>
  </si>
  <si>
    <t>nathalie.pittet69@gmail.com</t>
  </si>
  <si>
    <t>Nathalie</t>
  </si>
  <si>
    <t>Pittet</t>
  </si>
  <si>
    <t>neva.grueninger@gmx.ch</t>
  </si>
  <si>
    <t>Neva</t>
  </si>
  <si>
    <t>Grüninger</t>
  </si>
  <si>
    <t>neyla.chlaib@hotmail.com</t>
  </si>
  <si>
    <t>Neyla</t>
  </si>
  <si>
    <t>Chlaib</t>
  </si>
  <si>
    <t>nina.kotterer@web.de</t>
  </si>
  <si>
    <t>Nina</t>
  </si>
  <si>
    <t>Kotterer</t>
  </si>
  <si>
    <t>nniyati.prayaga@icloud.com</t>
  </si>
  <si>
    <t>Niyati</t>
  </si>
  <si>
    <t>Prayaga</t>
  </si>
  <si>
    <t>olivier.gimmi@outlook.com</t>
  </si>
  <si>
    <t>Gimmi</t>
  </si>
  <si>
    <t>pao-giraldo@hotmail.com</t>
  </si>
  <si>
    <t>Maeva</t>
  </si>
  <si>
    <t>Abalo Giraldo</t>
  </si>
  <si>
    <t>patrick.milano@wanadoo.fr</t>
  </si>
  <si>
    <t>Patrick</t>
  </si>
  <si>
    <t>Milano</t>
  </si>
  <si>
    <t>pauline.absil@hotmail.com</t>
  </si>
  <si>
    <t>Pauline</t>
  </si>
  <si>
    <t>Absil</t>
  </si>
  <si>
    <t>pbabey@bluewin.ch</t>
  </si>
  <si>
    <t>Pascal</t>
  </si>
  <si>
    <t>Babey</t>
  </si>
  <si>
    <t>pepe.daniele@gmx.ch</t>
  </si>
  <si>
    <t>Daniele</t>
  </si>
  <si>
    <t>Pepe</t>
  </si>
  <si>
    <t>peter.aeberhard@gmail.com</t>
  </si>
  <si>
    <t>Peter</t>
  </si>
  <si>
    <t>Aeberhard</t>
  </si>
  <si>
    <t>peter@zahnarzt-ruf.de</t>
  </si>
  <si>
    <t>Ruf</t>
  </si>
  <si>
    <t>philipp_inauen@hotmail.com</t>
  </si>
  <si>
    <t>Philipp</t>
  </si>
  <si>
    <t>Inauen</t>
  </si>
  <si>
    <t>qgigon@icloud.com</t>
  </si>
  <si>
    <t>Quentin</t>
  </si>
  <si>
    <t>Gigon</t>
  </si>
  <si>
    <t>r.schoenenberger90@gmail.com</t>
  </si>
  <si>
    <t>Romana</t>
  </si>
  <si>
    <t>Salzmann</t>
  </si>
  <si>
    <t>rahelnsteiner@gmail.com</t>
  </si>
  <si>
    <t>Rahel</t>
  </si>
  <si>
    <t>Steiner</t>
  </si>
  <si>
    <t>rebecca.taraborrelli@gmail.com</t>
  </si>
  <si>
    <t>Rebecca</t>
  </si>
  <si>
    <t>Taraborrelli</t>
  </si>
  <si>
    <t>regisjaccoud@gmail.com</t>
  </si>
  <si>
    <t>Régis</t>
  </si>
  <si>
    <t>Jaccoud</t>
  </si>
  <si>
    <t>renato65@bluewin.ch</t>
  </si>
  <si>
    <t>Renato</t>
  </si>
  <si>
    <t>Schorno</t>
  </si>
  <si>
    <t>reto.zollinger23@gmail.com</t>
  </si>
  <si>
    <t>Reto</t>
  </si>
  <si>
    <t>Zollinger</t>
  </si>
  <si>
    <t>richard.deletroz@crr-suva.ch</t>
  </si>
  <si>
    <t>Richard</t>
  </si>
  <si>
    <t>Délétroz</t>
  </si>
  <si>
    <t>riederdeborah@gmail.com</t>
  </si>
  <si>
    <t>Deborah</t>
  </si>
  <si>
    <t>Rieder</t>
  </si>
  <si>
    <t>robbydjaz@bluewin.ch</t>
  </si>
  <si>
    <t>Djazira</t>
  </si>
  <si>
    <t>Gattlen Debbiche</t>
  </si>
  <si>
    <t>roby.ranza@gmail.com</t>
  </si>
  <si>
    <t>Roberto</t>
  </si>
  <si>
    <t>Ranza</t>
  </si>
  <si>
    <t>roman-schwarz@hotmail.com</t>
  </si>
  <si>
    <t>Roman</t>
  </si>
  <si>
    <t>Schwarz</t>
  </si>
  <si>
    <t>rushanjolla189@gmail.com</t>
  </si>
  <si>
    <t>Rushan</t>
  </si>
  <si>
    <t>Jolla</t>
  </si>
  <si>
    <t>Ruthroquegil@gmail.com</t>
  </si>
  <si>
    <t>Ruth Esther</t>
  </si>
  <si>
    <t>Roque</t>
  </si>
  <si>
    <t>s.gantenbein@gmx.net</t>
  </si>
  <si>
    <t>Sandra</t>
  </si>
  <si>
    <t>Gantenbein</t>
  </si>
  <si>
    <t>S.tache@netplus.ch</t>
  </si>
  <si>
    <t>Simon</t>
  </si>
  <si>
    <t>Tâche</t>
  </si>
  <si>
    <t>samuel.reber@bluewin.ch</t>
  </si>
  <si>
    <t>Sam</t>
  </si>
  <si>
    <t>Reber</t>
  </si>
  <si>
    <t>sandra.gomringer@bluewin.ch</t>
  </si>
  <si>
    <t>Gomringer</t>
  </si>
  <si>
    <t>sandro.cappello@bluewin.ch</t>
  </si>
  <si>
    <t>Sandro</t>
  </si>
  <si>
    <t>Cappello</t>
  </si>
  <si>
    <t>sandrowegmann@hotmail.com</t>
  </si>
  <si>
    <t>Wegmann</t>
  </si>
  <si>
    <t>schneehas82@gmail.com</t>
  </si>
  <si>
    <t>Sabrina</t>
  </si>
  <si>
    <t>Dürr</t>
  </si>
  <si>
    <t>schuedit@gmx.ch</t>
  </si>
  <si>
    <t>Judith</t>
  </si>
  <si>
    <t>Eggo</t>
  </si>
  <si>
    <t>sebastian.wolniak@gmail.com</t>
  </si>
  <si>
    <t>Sebastian</t>
  </si>
  <si>
    <t>Wolniak</t>
  </si>
  <si>
    <t>sebastian96mueller@gmail.com</t>
  </si>
  <si>
    <t>sebihug@hotmail.com</t>
  </si>
  <si>
    <t>Sebastien</t>
  </si>
  <si>
    <t>Hug</t>
  </si>
  <si>
    <t>active</t>
  </si>
  <si>
    <t>seiler.vanessa@outlook.com</t>
  </si>
  <si>
    <t>Vanessa</t>
  </si>
  <si>
    <t>Seiler</t>
  </si>
  <si>
    <t>severin.loetscher@bluewin.ch</t>
  </si>
  <si>
    <t>Severin</t>
  </si>
  <si>
    <t>Arnold</t>
  </si>
  <si>
    <t>sfankhauser@datasport.com</t>
  </si>
  <si>
    <t>Silas</t>
  </si>
  <si>
    <t>Fankhauser</t>
  </si>
  <si>
    <t>shqipi113@gmail.com</t>
  </si>
  <si>
    <t>SHQIPRON</t>
  </si>
  <si>
    <t>PALUSHI</t>
  </si>
  <si>
    <t>sigmard@msn.com</t>
  </si>
  <si>
    <t>Antonin</t>
  </si>
  <si>
    <t>Wyss</t>
  </si>
  <si>
    <t>simiboesch@bluewin.ch</t>
  </si>
  <si>
    <t>Simone</t>
  </si>
  <si>
    <t>Boesch</t>
  </si>
  <si>
    <t>simon-probst@bluewin.ch</t>
  </si>
  <si>
    <t>Probst</t>
  </si>
  <si>
    <t>smerillat@gmail.com</t>
  </si>
  <si>
    <t>Stève</t>
  </si>
  <si>
    <t>Mérillat</t>
  </si>
  <si>
    <t>TRAINING_FREQUENCY</t>
  </si>
  <si>
    <t>soniaklaye@gmail.com</t>
  </si>
  <si>
    <t>Sonia</t>
  </si>
  <si>
    <t>Klaye</t>
  </si>
  <si>
    <t>sraidler@gmx.net</t>
  </si>
  <si>
    <t>Sabina</t>
  </si>
  <si>
    <t>Raidler</t>
  </si>
  <si>
    <t>sylvie_bischof@yahoo.fr</t>
  </si>
  <si>
    <t>Sylvie</t>
  </si>
  <si>
    <t>Bischof</t>
  </si>
  <si>
    <t>tbachofner@datasport.com</t>
  </si>
  <si>
    <t>thomas.duersteler@gmx.ch</t>
  </si>
  <si>
    <t>Dürsteler</t>
  </si>
  <si>
    <t>thomas.jourdan123@gmail.com</t>
  </si>
  <si>
    <t>Thomas David</t>
  </si>
  <si>
    <t>Jourdan</t>
  </si>
  <si>
    <t>valentin.belz@yahoo.com</t>
  </si>
  <si>
    <t>Valentin</t>
  </si>
  <si>
    <t>Belz</t>
  </si>
  <si>
    <t>valerio@frison.ch</t>
  </si>
  <si>
    <t>Valerio</t>
  </si>
  <si>
    <t>Frison</t>
  </si>
  <si>
    <t>vinothankumarasamy@gmail.com</t>
  </si>
  <si>
    <t>Vinothan</t>
  </si>
  <si>
    <t>Kumarasamy</t>
  </si>
  <si>
    <t>vivian.kathy.fritschi@bluewin.ch</t>
  </si>
  <si>
    <t>Vivian Kathy</t>
  </si>
  <si>
    <t>Fritschi</t>
  </si>
  <si>
    <t>viviane.liselle@gmail.com</t>
  </si>
  <si>
    <t>Viviane</t>
  </si>
  <si>
    <t>Stehli</t>
  </si>
  <si>
    <t>vivienne.meyer@gmx.ch</t>
  </si>
  <si>
    <t>Vivienne</t>
  </si>
  <si>
    <t>Meyer</t>
  </si>
  <si>
    <t>vivienne.sieber@gmx.ch</t>
  </si>
  <si>
    <t>Sieber</t>
  </si>
  <si>
    <t>vmurisier@datasport.com</t>
  </si>
  <si>
    <t>Victoria</t>
  </si>
  <si>
    <t>Murisier</t>
  </si>
  <si>
    <t>walker.manuel@bluewin.ch</t>
  </si>
  <si>
    <t>Manuel</t>
  </si>
  <si>
    <t>Walker</t>
  </si>
  <si>
    <t>walter_ruegg@bluewin.ch</t>
  </si>
  <si>
    <t>Walter</t>
  </si>
  <si>
    <t>Rüegg</t>
  </si>
  <si>
    <t>wittwerch@gmail.com</t>
  </si>
  <si>
    <t>Wittwer</t>
  </si>
  <si>
    <t>yKononenko@datasport.com</t>
  </si>
  <si>
    <t>Production</t>
  </si>
  <si>
    <t>AutotestUser</t>
  </si>
  <si>
    <t>yves.gschwend@gmail.com</t>
  </si>
  <si>
    <t>Yves</t>
  </si>
  <si>
    <t>Gschwend</t>
  </si>
  <si>
    <t>zappyniki@yahoo.com</t>
  </si>
  <si>
    <t>Priya</t>
  </si>
  <si>
    <t>Agrawal</t>
  </si>
  <si>
    <t>zarg129@gmail.com</t>
  </si>
  <si>
    <t>Diachenko</t>
  </si>
  <si>
    <t>zeni.patrizia@gmail.com</t>
  </si>
  <si>
    <t>Patrizia</t>
  </si>
  <si>
    <t>Zeni</t>
  </si>
  <si>
    <t>zeynepmeral@bluewin.ch</t>
  </si>
  <si>
    <t>Zeynep</t>
  </si>
  <si>
    <t>Meral</t>
  </si>
  <si>
    <t>Timestamp</t>
  </si>
  <si>
    <t>Email</t>
  </si>
  <si>
    <t>Étape (clé)</t>
  </si>
  <si>
    <t>Étape (libellé)</t>
  </si>
  <si>
    <t>Raison abandon</t>
  </si>
  <si>
    <t>Raison – Détail</t>
  </si>
  <si>
    <t>Finira le profil ?</t>
  </si>
  <si>
    <t>Commentaire libre</t>
  </si>
  <si>
    <t>2026-06-23T09:16:03.268Z</t>
  </si>
  <si>
    <t>Freigabe deiner Resultate</t>
  </si>
  <si>
    <t>Keine Zeit</t>
  </si>
  <si>
    <t>Nein</t>
  </si>
  <si>
    <t>2026-06-23T10:16:56.919Z</t>
  </si>
  <si>
    <t>Technische Probleme</t>
  </si>
  <si>
    <t>Ja</t>
  </si>
  <si>
    <t>2026-06-23T10:36:17.137Z</t>
  </si>
  <si>
    <t>Weekly schedule</t>
  </si>
  <si>
    <t>No time</t>
  </si>
  <si>
    <t>2026-06-23T13:16:54.888Z</t>
  </si>
  <si>
    <t>einem bestimmten Schritt</t>
  </si>
  <si>
    <t>Onboarding zu lang</t>
  </si>
  <si>
    <t>Vielleicht</t>
  </si>
  <si>
    <t>2026-06-23T19:30:02.496Z</t>
  </si>
  <si>
    <t>Trainingsfrequenz</t>
  </si>
  <si>
    <t>Anderes</t>
  </si>
  <si>
    <t>Synchronisation der geplanten Workouts z.B. nach Garmin Connect oder TrainingPeaks wäre für mich ein zwingendes Feature gewesen.</t>
  </si>
  <si>
    <t>Für etwas erfahrenere Läufer ist die Funktionalität ungenügend. Konkurrenten wie z.B. AI-Endurance bieten deutlich mehr.</t>
  </si>
  <si>
    <t>2026-06-24T08:32:04.751Z</t>
  </si>
  <si>
    <t>Wochenplan</t>
  </si>
  <si>
    <t xml:space="preserve">Vielen Dank </t>
  </si>
  <si>
    <t>2026-06-24T10:11:59.296Z</t>
  </si>
  <si>
    <t>2026-06-27T05:24:04.998Z</t>
  </si>
  <si>
    <t>Kommunikationseinstellungen</t>
  </si>
  <si>
    <t>2026-07-01T07:22:14.469Z</t>
  </si>
  <si>
    <t>Lauftempo</t>
  </si>
  <si>
    <t>Dieser Schritt war unklar</t>
  </si>
  <si>
    <t>Raison inactivité (Q1)</t>
  </si>
  <si>
    <t>Q1 – Détail</t>
  </si>
  <si>
    <t>Motivation retour (Q2)</t>
  </si>
  <si>
    <t>Commentaire libre (Q3)</t>
  </si>
  <si>
    <t>classification réponse Q2</t>
  </si>
  <si>
    <t>2026-06-23T08:21:35.339Z</t>
  </si>
  <si>
    <t>Ich habe nicht mehr trainiert</t>
  </si>
  <si>
    <t xml:space="preserve">kühleres wetter
</t>
  </si>
  <si>
    <t>supi dupi</t>
  </si>
  <si>
    <t>external motivation</t>
  </si>
  <si>
    <t>2026-06-23T08:32:34.990Z</t>
  </si>
  <si>
    <t>Ich nutze ein anderes Tool</t>
  </si>
  <si>
    <t>Ich benutze Runna, das mir alle Workouts direkt auf die Uhr synchronisiert und sehr einfach habzuhaben ist.</t>
  </si>
  <si>
    <t>Ich denke, eine bessere Bedienungsfreundlichkeit.</t>
  </si>
  <si>
    <t>application improvement</t>
  </si>
  <si>
    <t>2026-06-23T09:18:28.951Z</t>
  </si>
  <si>
    <t>Fit for Life Coach hat meine Erwartungen/Bedürfnisse nicht erfüllt</t>
  </si>
  <si>
    <t xml:space="preserve">Man kann nur einen Wettkampf hinterlegen, keine Test-Wettkämpfe. Planung der Trainings in der Woche sollte automatisch erfolgen, die Reihenfolge ist ja wichtig. Krafttraining fehlt komplett.
Keine Übersicht über die Wochenkilometer, Zeiten eintragen wo ich nicht trainieren kann etc..
</t>
  </si>
  <si>
    <t>Features :)</t>
  </si>
  <si>
    <t>Solche Plattformen gibt es bereits X verschiedene, welche alle weit voraus sind.   Datasport ist ein Anbieter von Zeitmessungen (und im weitesten Sinne Events). Ich möchte da eine viel bessere Übersicht über mein Profil als Athlet haben, mit allen meinen Resultaten. Der Trainingsprozess ist mMn bereits abgedeckt durch andere Plattformen.
Sowas wie https://www.finishr.app/ solltet ihr machen ;)</t>
  </si>
  <si>
    <t>2026-06-23T09:36:22.289Z</t>
  </si>
  <si>
    <t xml:space="preserve">Garmin </t>
  </si>
  <si>
    <t>Triathlon pläne</t>
  </si>
  <si>
    <t>2026-06-23T10:59:49.411Z</t>
  </si>
  <si>
    <t>Fit for Life Coach n’a pas répondu à mes attentes/besoins</t>
  </si>
  <si>
    <t>Dans le cas d'entrainements pour Glacier3000Run, jusqu'ici le dénivelé n'est pas pris en compte (alors que c'est un composante importante de la course), ni même l'altitude</t>
  </si>
  <si>
    <t>Une analyse plus complète des données d'entrainement (calcul de l'effort sur la distance, le D+ et le D-, par exemple)</t>
  </si>
  <si>
    <t>2026-06-23T11:09:35.076Z</t>
  </si>
  <si>
    <t>Das zusätzliche Trainings nicht erfasst werden können. Oder mehrere an einrm Tag nicht eingetragen werden konnten.</t>
  </si>
  <si>
    <t>Ich fand es cool zum ausprobieren und kann mir vorstellen, es wieder zu benützen.
Aktuell mache ich nach einem Trainingsplan, meiner Garmin Uhr, Trainings.</t>
  </si>
  <si>
    <t>2026-06-23T11:18:39.215Z</t>
  </si>
  <si>
    <t xml:space="preserve">Chat gpt
</t>
  </si>
  <si>
    <t>Weniger einloggen, interfaces etc. dynamisches abfragen und anpassen… schwierig zu sagen. Der Vergleich mit Chat gpt, Google ist hart</t>
  </si>
  <si>
    <t>2026-06-23T15:47:50.702Z</t>
  </si>
  <si>
    <t>Ich hatte es vergessen</t>
  </si>
  <si>
    <t>2026-06-23T15:49:03.170Z</t>
  </si>
  <si>
    <t xml:space="preserve">Flexibel, weniger aufdringlich </t>
  </si>
  <si>
    <t>2026-06-23T21:26:52.953Z</t>
  </si>
  <si>
    <t>Kam nur die ersten zwei Mal in den Account  - danach funktionierte es auf dem Handy nicht mehr! Sehr ärgerlich.</t>
  </si>
  <si>
    <t>Bessere Technologie: nicht intuitiv das handling der seite. Auch sehr umständlich und veraltet sich einzuloggen. Eine einfache kompakte app oder internetseite. Zudem die technischen Fehler müssten behoben sein. So workt es unseriös.</t>
  </si>
  <si>
    <t>2026-06-24T15:59:58.369Z</t>
  </si>
  <si>
    <t>2026-06-24T19:58:32.903Z</t>
  </si>
  <si>
    <t xml:space="preserve">Eine Einladung mit einem Link, den ich anklicken kann und dann funktioniert es wieder. Ich muss individueller trainieren können und keine Reminder, dass ich ein Training noch hochladen muss. Und wenn ich in einer Woche 4x trainieren möchte, dann möchte ich Training bekommen und nicht den Hinweis, ich soll mich ausruhen. </t>
  </si>
  <si>
    <t>2026-06-26T11:06:50.846Z</t>
  </si>
  <si>
    <t>Mehr trainieren</t>
  </si>
  <si>
    <t>2026-06-28T18:16:14.033Z</t>
  </si>
  <si>
    <t>Ein neuer Event</t>
  </si>
  <si>
    <t>2026-06-28T18:23:34.353Z</t>
  </si>
  <si>
    <t>Garmin, es überschnitt sich mit dem fit for life coach. Ich habe die Eingabe gemacht, dass der Start erst am 29.6.26 ist.</t>
  </si>
  <si>
    <t>Start am 29.6.26</t>
  </si>
  <si>
    <t>Ich wäre gespannt auf den coach.</t>
  </si>
  <si>
    <t>2026-07-01T07:07:10.593Z</t>
  </si>
  <si>
    <t>J’utilise un autre outil</t>
  </si>
  <si>
    <t>Strava</t>
  </si>
  <si>
    <t xml:space="preserve">Je risque de revenir prochainement </t>
  </si>
  <si>
    <t xml:space="preserve">Je vais réessayer tous ça bientôt </t>
  </si>
  <si>
    <t>2026-07-01T07:12:39.114Z</t>
  </si>
  <si>
    <t>Wegen Krankheit denn Anschluss/ Bezug verloren. 
Die Fixen Tage stören mich. Besser wäre diese zwei Einheiten wären diese Woche für den Aufbau hilfreich.</t>
  </si>
  <si>
    <t>Ansonsten spannendes Format</t>
  </si>
  <si>
    <t>2026-07-01T07:28:07.414Z</t>
  </si>
  <si>
    <t>Runningcoach app</t>
  </si>
  <si>
    <t>2026-07-01T09:02:09.128Z</t>
  </si>
  <si>
    <t>Problèmes techniques</t>
  </si>
  <si>
    <t xml:space="preserve">J’ai pas compris où trouver et comment ça fonctionne </t>
  </si>
  <si>
    <t>Je répond à votre sondage</t>
  </si>
  <si>
    <t>Non</t>
  </si>
  <si>
    <t>2026-07-01T09:08:53.021Z</t>
  </si>
  <si>
    <t>I stopped training</t>
  </si>
  <si>
    <t>motivation would help ;)</t>
  </si>
  <si>
    <t>You are doing a good job and I really hope it works!!!</t>
  </si>
  <si>
    <t>2026-07-01T09:30:23.515Z</t>
  </si>
  <si>
    <t>2026-07-01T11:26:46.541Z</t>
  </si>
  <si>
    <t>Ich trainiere lieber nach Gefühl statt fixem Plan. Daher ist es für mich nicht optimal. Nehme aber immer wieder Inputs für mein TR auf</t>
  </si>
  <si>
    <t>Siehe Kommentar vorher</t>
  </si>
  <si>
    <t>2026-07-01T12:38:14.419Z</t>
  </si>
  <si>
    <t>Une notification de rappel</t>
  </si>
  <si>
    <t>Merci tout de même pour le lancement du produit</t>
  </si>
  <si>
    <t>2026-07-01T16:06:14.732Z</t>
  </si>
  <si>
    <t>Spannendes Format, ich trainiere nicht fix an jedem gleichen Tag in der Woche, daher Tag unabhängig Trainingseinheiten pro Wochen anstehend.</t>
  </si>
  <si>
    <t>2026-07-02T04:29:13.585Z</t>
  </si>
  <si>
    <t>ambitionierteres Training</t>
  </si>
  <si>
    <t>NPS (0-10)</t>
  </si>
  <si>
    <t>Coach aide (Q1)</t>
  </si>
  <si>
    <t>À améliorer (Q2)</t>
  </si>
  <si>
    <t>Description Milo (Q4)</t>
  </si>
  <si>
    <t>2026-06-23T08:03:09.527Z</t>
  </si>
  <si>
    <t>mscherrer@datasport.com</t>
  </si>
  <si>
    <t>Ja, deutlich</t>
  </si>
  <si>
    <t>asdfaswd</t>
  </si>
  <si>
    <t>test</t>
  </si>
  <si>
    <t>2026-06-23T08:20:55.049Z</t>
  </si>
  <si>
    <t>Noch zu früh, um das zu sagen</t>
  </si>
  <si>
    <t xml:space="preserve">Blabla </t>
  </si>
  <si>
    <t>Blabla</t>
  </si>
  <si>
    <t>Es ist super</t>
  </si>
  <si>
    <t>2026-06-23T09:36:22.363Z</t>
  </si>
  <si>
    <t>Dass der Wochenplan für die folgende Woche bereits ersichtlich ist</t>
  </si>
  <si>
    <t>Die Trainings sind schlüssig erklärt. Ich weiss, warum ich zum Beispiel einen Longrun mache.</t>
  </si>
  <si>
    <t>2026-06-23T16:28:40.999Z</t>
  </si>
  <si>
    <t xml:space="preserve">Vorschlag der Trainings, entspricht meinem Niveau und Vorstellung. Einfache Anpassung der Trainingstage. Einfacher Übertrqg der Garmindaten. Informationen und Erläuterungen zum vorgeschlagenen Training helfen! </t>
  </si>
  <si>
    <t>Die Genauigkeit der Übernahme meiner Garmindaten ist teilweise ungenau. 
Mehr Einbezug von Temperatur, Untergrund und Höhendifferenz im Training.</t>
  </si>
  <si>
    <t>KI-unterstützter Trainingsplan mit Einbezug der eigenen Trainingsdaten einer Smartwatch.</t>
  </si>
  <si>
    <t>2026-06-24T12:27:13.497Z</t>
  </si>
  <si>
    <t>Ich brauche die Trainings auf meiner Garmin Uhr</t>
  </si>
  <si>
    <t>Die Trainings müssen automatisch auf der Garmin Uhr ersichtlich sein</t>
  </si>
  <si>
    <t>Wie gesagt, für mich als Breitensportlerin ist der Funktionalitätsgrad nicht genügend, solange ich die Trainings nicht direkt auf meiner Garmin Uhr habe. Deshalb kann ich zum aktuellen Stand den Coach nicht weiterempfehlen.</t>
  </si>
  <si>
    <t>2026-06-27T13:19:35.959Z</t>
  </si>
  <si>
    <t>Meine Regeneration nach den Trainings oder nach einem Lauf verläuft schneller und besser.</t>
  </si>
  <si>
    <t>Ich habe heute das weitere Training ab nächster Woche bis zum Swissalpine 42 eingestellt/angefragt. Aber im Kalender erscheint nichts und die Trainings dieser Woche sind weg! Irgendetwas stimmt nicht. Auch Milo weisst immer darauf hin, dass das Training für den Swissalpine angepasst ist. Aber ich glaube dies nicht.</t>
  </si>
  <si>
    <t>Versuchs mal.</t>
  </si>
  <si>
    <t>2026-07-01T13:20:48.893Z</t>
  </si>
  <si>
    <t xml:space="preserve">Ich habe wieder aufgehört den Coach zu nutzen, weil leider immer dieselben Rückmeldungen kamen, die so leider nicht hilfreich waren. Mein Puls ist grundsätzlich, bekannterweise überdurchschnittlich hoch. So war keines meiner Trainings gut. Ich hätte spazieren gehen müssen. 
Somit für mich leider nur mit sehr viel selbstinterpretation brauchbar. </t>
  </si>
  <si>
    <t xml:space="preserve">Siehe letztes Textfeld. Wenn jemand beim total entspannt joggen einen Puls von 130 hat, weil beim langsamen spazieren schon bei 118, muss dies berücksichtigt werden können und so eingestellt, dass danach auch die Rückmeldu ne en an das angepasst. </t>
  </si>
  <si>
    <t>Gibt gute Inputs, gute Trainingsideen und einen seriösen Plan, solange du ins Schema F passt.</t>
  </si>
  <si>
    <t>2026-07-01T14:03:10.898Z</t>
  </si>
  <si>
    <t>Für mich war sehe, sehr wichtig in der Trinkwasser "gebremst" zu werden. Es war keine Bremse, sondern ein bewusst machen, auf den Puls zu achten, statt Geschwindigkeit zu bolzen. Die Erklärungen warum etwas gemacht werden soll, hat immer motiviert!!</t>
  </si>
  <si>
    <t>Bei Planänderungen, meist aus Zeitgründen, war die KI einfach unflexibel und hat die Einheit, die ich einen Tag später machte oder mit einer anderen getauscht habe, dann als nicht gemacht , weggelassen</t>
  </si>
  <si>
    <t>Dass der Plan durchstrukturiert ist und sinnvoll gestaltet ist.</t>
  </si>
  <si>
    <t>2026-07-02T18:02:59.410Z</t>
  </si>
  <si>
    <t>Noch nicht</t>
  </si>
  <si>
    <t>Habe ich bereits ausgefüllt, nur keinen Gutschein erhalten. 
Schade ist das Programm so stur und lässt sich nicht an andere Pulsfrequenzen anpassen</t>
  </si>
  <si>
    <t xml:space="preserve">Habe ich bereits ausgefüllt, nur keinen Gutschein erhalten. </t>
  </si>
  <si>
    <t>Habe ich bereits ausgefüllt, nur keinen Gutschein erhalten.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</si>
</sst>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0.0"/>
      <color rgb="FF000000"/>
      <name val="Arial"/>
      <scheme val="minor"/>
    </font>
    <font>
      <color theme="1"/>
      <name val="Arial"/>
      <scheme val="minor"/>
    </font>
    <font>
      <u/>
      <color rgb="FF0000FF"/>
    </font>
    <font>
      <b/>
      <color theme="1"/>
      <name val="Arial"/>
      <scheme val="mino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1" numFmtId="0" xfId="0" applyFont="1"/>
    <xf borderId="0" fillId="0" fontId="1" numFmtId="164" xfId="0" applyAlignment="1" applyFont="1" applyNumberFormat="1">
      <alignment readingOrder="0"/>
    </xf>
    <xf borderId="0" fillId="2" fontId="3" numFmtId="0" xfId="0" applyAlignment="1" applyFill="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phael Malet" id="{f0b46548-e78a-4949-94e6-6424ed63ae9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 dT="2026-06-22T14:13:15.00" personId="{f0b46548-e78a-4949-94e6-6424ed63ae95}" id="{629a758f-04bd-42d5-9086-8c465ccb5a6f}" done="0">
    <x18tc:text xml:space="preserve">fichier à utiliser</x18tc:text>
  </x18tc:threadedComment>
  <x18tc:threadedComment ref="A1" dT="2026-06-18T09:47:29.00" personId="{f0b46548-e78a-4949-94e6-6424ed63ae95}" id="{35dc5929-83c2-4ba4-bb27-865449500519}" done="0">
    <x18tc:text xml:space="preserve">manuellement pris ceux qui sont inscrits depuis moins de 2 semaines et ensuite filtré ceux qui ont loggé plus de 50% des activités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3" max="3" width="15.75"/>
    <col customWidth="1" min="4" max="4" width="24.38"/>
    <col customWidth="1" min="9" max="9" width="109.75"/>
  </cols>
  <sheetData>
    <row r="1">
      <c r="A1" s="1" t="s">
        <v>0</v>
      </c>
      <c r="B1" s="1" t="s">
        <v>1</v>
      </c>
      <c r="C1" s="1" t="s">
        <v>2</v>
      </c>
      <c r="D1" s="1" t="s">
        <v>3</v>
      </c>
      <c r="E1" s="1" t="s">
        <v>4</v>
      </c>
      <c r="F1" s="1" t="s">
        <v>5</v>
      </c>
      <c r="G1" s="1" t="s">
        <v>6</v>
      </c>
      <c r="H1" s="1" t="s">
        <v>7</v>
      </c>
      <c r="I1" s="1" t="s">
        <v>8</v>
      </c>
      <c r="J1" s="1" t="s">
        <v>9</v>
      </c>
    </row>
    <row r="2" hidden="1">
      <c r="A2" s="1" t="s">
        <v>10</v>
      </c>
      <c r="B2" s="1" t="s">
        <v>11</v>
      </c>
      <c r="C2" s="1" t="s">
        <v>12</v>
      </c>
      <c r="E2" s="1" t="s">
        <v>13</v>
      </c>
      <c r="F2" s="1" t="s">
        <v>14</v>
      </c>
      <c r="G2" s="1">
        <v>0.0</v>
      </c>
      <c r="H2" s="1">
        <v>0.0</v>
      </c>
      <c r="I2" s="2" t="str">
        <f t="shared" ref="I2:I3" si="1">"https://datasport-ai.github.io/Milo_Formular/form-inactive.html?email="&amp;ENCODEURL(A2)</f>
        <v>https://datasport-ai.github.io/Milo_Formular/form-inactive.html?email=a.krenger%40gmx.net</v>
      </c>
      <c r="J2" s="3" t="str">
        <f t="shared" ref="J2:J3" si="2">IFS(G2=0, "inactive")</f>
        <v>inactive</v>
      </c>
    </row>
    <row r="3" hidden="1">
      <c r="A3" s="1" t="s">
        <v>15</v>
      </c>
      <c r="B3" s="1" t="s">
        <v>11</v>
      </c>
      <c r="C3" s="1" t="s">
        <v>16</v>
      </c>
      <c r="E3" s="1" t="s">
        <v>13</v>
      </c>
      <c r="F3" s="1" t="s">
        <v>14</v>
      </c>
      <c r="G3" s="1">
        <v>0.0</v>
      </c>
      <c r="H3" s="1">
        <v>0.0</v>
      </c>
      <c r="I3" s="2" t="str">
        <f t="shared" si="1"/>
        <v>https://datasport-ai.github.io/Milo_Formular/form-inactive.html?email=a.werren%40bluewin.ch</v>
      </c>
      <c r="J3" s="3" t="str">
        <f t="shared" si="2"/>
        <v>inactive</v>
      </c>
    </row>
    <row r="4" hidden="1">
      <c r="A4" s="1" t="s">
        <v>17</v>
      </c>
      <c r="B4" s="1" t="s">
        <v>18</v>
      </c>
      <c r="C4" s="1" t="s">
        <v>19</v>
      </c>
      <c r="D4" s="4">
        <v>46156.863645833335</v>
      </c>
      <c r="E4" s="1" t="s">
        <v>20</v>
      </c>
      <c r="F4" s="1" t="s">
        <v>21</v>
      </c>
      <c r="G4" s="1">
        <v>0.0</v>
      </c>
      <c r="H4" s="1">
        <v>0.0</v>
      </c>
      <c r="I4" s="2" t="str">
        <f>"https://datasport-ai.github.io/Milo_Formular/form-onboarding-dropout.html?email="&amp;ENCODEURL(A4)&amp;"&amp;step="&amp;F4</f>
        <v>https://datasport-ai.github.io/Milo_Formular/form-onboarding-dropout.html?email=abbar.therence%40gmail.com&amp;step=WEARABLE_CONNECTION</v>
      </c>
      <c r="J4" s="1" t="s">
        <v>22</v>
      </c>
    </row>
    <row r="5" hidden="1">
      <c r="A5" s="1" t="s">
        <v>23</v>
      </c>
      <c r="B5" s="1" t="s">
        <v>24</v>
      </c>
      <c r="C5" s="1" t="s">
        <v>25</v>
      </c>
      <c r="D5" s="4">
        <v>46190.581608796296</v>
      </c>
      <c r="E5" s="1" t="s">
        <v>13</v>
      </c>
      <c r="F5" s="1" t="s">
        <v>14</v>
      </c>
      <c r="G5" s="1">
        <v>0.0</v>
      </c>
      <c r="H5" s="1">
        <v>0.0</v>
      </c>
      <c r="I5" s="2" t="str">
        <f>"https://datasport-ai.github.io/Milo_Formular/form-inactive.html?email="&amp;ENCODEURL(A5)</f>
        <v>https://datasport-ai.github.io/Milo_Formular/form-inactive.html?email=agabrzezinska%40wp.pl</v>
      </c>
      <c r="J5" s="3" t="str">
        <f>IFS(G5=0, "inactive")</f>
        <v>inactive</v>
      </c>
    </row>
    <row r="6" hidden="1">
      <c r="A6" s="1" t="s">
        <v>26</v>
      </c>
      <c r="B6" s="1" t="s">
        <v>27</v>
      </c>
      <c r="C6" s="1" t="s">
        <v>28</v>
      </c>
      <c r="D6" s="4">
        <v>46185.38711805556</v>
      </c>
      <c r="E6" s="1" t="s">
        <v>20</v>
      </c>
      <c r="F6" s="1" t="s">
        <v>29</v>
      </c>
      <c r="G6" s="1">
        <v>0.0</v>
      </c>
      <c r="H6" s="1">
        <v>0.0</v>
      </c>
      <c r="I6" s="2" t="str">
        <f>"https://datasport-ai.github.io/Milo_Formular/form-onboarding-dropout.html?email="&amp;ENCODEURL(A6)&amp;"&amp;step="&amp;F6</f>
        <v>https://datasport-ai.github.io/Milo_Formular/form-onboarding-dropout.html?email=aimee.pa%40bluewin.ch&amp;step=RESULTS_PERMISSION</v>
      </c>
      <c r="J6" s="1" t="s">
        <v>22</v>
      </c>
    </row>
    <row r="7" hidden="1">
      <c r="A7" s="1" t="s">
        <v>30</v>
      </c>
      <c r="B7" s="1" t="s">
        <v>31</v>
      </c>
      <c r="C7" s="1" t="s">
        <v>32</v>
      </c>
      <c r="D7" s="4">
        <v>46174.27616898148</v>
      </c>
      <c r="E7" s="1" t="s">
        <v>13</v>
      </c>
      <c r="F7" s="1" t="s">
        <v>14</v>
      </c>
      <c r="G7" s="1">
        <v>0.0</v>
      </c>
      <c r="H7" s="1">
        <v>0.0</v>
      </c>
      <c r="I7" s="2" t="str">
        <f t="shared" ref="I7:I8" si="3">"https://datasport-ai.github.io/Milo_Formular/form-inactive.html?email="&amp;ENCODEURL(A7)</f>
        <v>https://datasport-ai.github.io/Milo_Formular/form-inactive.html?email=alain.zahnd%40bluewin.ch</v>
      </c>
      <c r="J7" s="3" t="str">
        <f t="shared" ref="J7:J8" si="4">IFS(G7=0, "inactive")</f>
        <v>inactive</v>
      </c>
    </row>
    <row r="8" hidden="1">
      <c r="A8" s="1" t="s">
        <v>33</v>
      </c>
      <c r="B8" s="1" t="s">
        <v>34</v>
      </c>
      <c r="C8" s="1" t="s">
        <v>35</v>
      </c>
      <c r="D8" s="4">
        <v>46185.36840277778</v>
      </c>
      <c r="E8" s="1" t="s">
        <v>13</v>
      </c>
      <c r="F8" s="1" t="s">
        <v>14</v>
      </c>
      <c r="G8" s="1">
        <v>0.0</v>
      </c>
      <c r="H8" s="1">
        <v>0.0</v>
      </c>
      <c r="I8" s="2" t="str">
        <f t="shared" si="3"/>
        <v>https://datasport-ai.github.io/Milo_Formular/form-inactive.html?email=alessia.agostina%40gmail.com</v>
      </c>
      <c r="J8" s="3" t="str">
        <f t="shared" si="4"/>
        <v>inactive</v>
      </c>
    </row>
    <row r="9" hidden="1">
      <c r="A9" s="1" t="s">
        <v>36</v>
      </c>
      <c r="B9" s="1" t="s">
        <v>37</v>
      </c>
      <c r="C9" s="1" t="s">
        <v>38</v>
      </c>
      <c r="D9" s="4">
        <v>46195.342627314814</v>
      </c>
      <c r="E9" s="1" t="s">
        <v>20</v>
      </c>
      <c r="F9" s="1" t="s">
        <v>39</v>
      </c>
      <c r="G9" s="1">
        <v>0.0</v>
      </c>
      <c r="H9" s="1">
        <v>0.0</v>
      </c>
      <c r="I9" s="2" t="str">
        <f>"https://datasport-ai.github.io/Milo_Formular/form-onboarding-dropout.html?email="&amp;ENCODEURL(A9)&amp;"&amp;step="&amp;F9</f>
        <v>https://datasport-ai.github.io/Milo_Formular/form-onboarding-dropout.html?email=alessio.mihalic%40libero.it&amp;step=WEEKLY_SCHEDULE</v>
      </c>
      <c r="J9" s="1" t="s">
        <v>22</v>
      </c>
    </row>
    <row r="10" hidden="1">
      <c r="A10" s="1" t="s">
        <v>40</v>
      </c>
      <c r="B10" s="1" t="s">
        <v>41</v>
      </c>
      <c r="C10" s="1" t="s">
        <v>42</v>
      </c>
      <c r="D10" s="4">
        <v>46192.43832175926</v>
      </c>
      <c r="E10" s="1" t="s">
        <v>13</v>
      </c>
      <c r="F10" s="1" t="s">
        <v>14</v>
      </c>
      <c r="G10" s="1">
        <v>0.0</v>
      </c>
      <c r="H10" s="1">
        <v>0.0</v>
      </c>
      <c r="I10" s="2" t="str">
        <f t="shared" ref="I10:I12" si="5">"https://datasport-ai.github.io/Milo_Formular/form-inactive.html?email="&amp;ENCODEURL(A10)</f>
        <v>https://datasport-ai.github.io/Milo_Formular/form-inactive.html?email=alex%40hyrox.com</v>
      </c>
      <c r="J10" s="3" t="str">
        <f t="shared" ref="J10:J12" si="6">IFS(G10=0, "inactive")</f>
        <v>inactive</v>
      </c>
    </row>
    <row r="11" hidden="1">
      <c r="A11" s="1" t="s">
        <v>43</v>
      </c>
      <c r="B11" s="1" t="s">
        <v>41</v>
      </c>
      <c r="C11" s="1" t="s">
        <v>44</v>
      </c>
      <c r="D11" s="4">
        <v>46174.20238425926</v>
      </c>
      <c r="E11" s="1" t="s">
        <v>13</v>
      </c>
      <c r="F11" s="1" t="s">
        <v>14</v>
      </c>
      <c r="G11" s="1">
        <v>0.0</v>
      </c>
      <c r="H11" s="1">
        <v>0.0</v>
      </c>
      <c r="I11" s="2" t="str">
        <f t="shared" si="5"/>
        <v>https://datasport-ai.github.io/Milo_Formular/form-inactive.html?email=alexbernasconi63%40gmail.com</v>
      </c>
      <c r="J11" s="3" t="str">
        <f t="shared" si="6"/>
        <v>inactive</v>
      </c>
    </row>
    <row r="12" hidden="1">
      <c r="A12" s="1" t="s">
        <v>45</v>
      </c>
      <c r="B12" s="1" t="s">
        <v>46</v>
      </c>
      <c r="C12" s="1" t="s">
        <v>47</v>
      </c>
      <c r="D12" s="4">
        <v>46132.84488425926</v>
      </c>
      <c r="E12" s="1" t="s">
        <v>13</v>
      </c>
      <c r="F12" s="1" t="s">
        <v>14</v>
      </c>
      <c r="G12" s="1">
        <v>0.0</v>
      </c>
      <c r="H12" s="1">
        <v>0.0</v>
      </c>
      <c r="I12" s="2" t="str">
        <f t="shared" si="5"/>
        <v>https://datasport-ai.github.io/Milo_Formular/form-inactive.html?email=andrea-giovanni%40hotmail.com</v>
      </c>
      <c r="J12" s="3" t="str">
        <f t="shared" si="6"/>
        <v>inactive</v>
      </c>
    </row>
    <row r="13" hidden="1">
      <c r="A13" s="1" t="s">
        <v>48</v>
      </c>
      <c r="B13" s="1" t="s">
        <v>49</v>
      </c>
      <c r="C13" s="1" t="s">
        <v>50</v>
      </c>
      <c r="D13" s="4">
        <v>46189.85811342593</v>
      </c>
      <c r="E13" s="1" t="s">
        <v>13</v>
      </c>
      <c r="F13" s="1" t="s">
        <v>14</v>
      </c>
      <c r="G13" s="1">
        <v>1.0</v>
      </c>
      <c r="H13" s="1">
        <v>1.0</v>
      </c>
      <c r="I13" s="2" t="str">
        <f>"https://datasport-ai.github.io/Milo_Formular/form-active.html?email="&amp;ENCODEURL(A13)</f>
        <v>https://datasport-ai.github.io/Milo_Formular/form-active.html?email=andrea.menardo%40gmail.com</v>
      </c>
      <c r="J13" s="3" t="str">
        <f t="shared" ref="J13:J14" si="7">IFS(H13/G13&gt;=0.5,"active",H13/G13&lt;0.5,"inactive")</f>
        <v>active</v>
      </c>
    </row>
    <row r="14" hidden="1">
      <c r="A14" s="1" t="s">
        <v>51</v>
      </c>
      <c r="B14" s="1" t="s">
        <v>52</v>
      </c>
      <c r="C14" s="1" t="s">
        <v>53</v>
      </c>
      <c r="D14" s="4">
        <v>46189.568333333336</v>
      </c>
      <c r="E14" s="1" t="s">
        <v>13</v>
      </c>
      <c r="F14" s="1" t="s">
        <v>14</v>
      </c>
      <c r="G14" s="1">
        <v>1.0</v>
      </c>
      <c r="H14" s="1">
        <v>0.0</v>
      </c>
      <c r="I14" s="2" t="str">
        <f t="shared" ref="I14:I17" si="8">"https://datasport-ai.github.io/Milo_Formular/form-inactive.html?email="&amp;ENCODEURL(A14)</f>
        <v>https://datasport-ai.github.io/Milo_Formular/form-inactive.html?email=andres.upegui%40gmail.com</v>
      </c>
      <c r="J14" s="3" t="str">
        <f t="shared" si="7"/>
        <v>inactive</v>
      </c>
    </row>
    <row r="15" hidden="1">
      <c r="A15" s="1" t="s">
        <v>54</v>
      </c>
      <c r="B15" s="1" t="s">
        <v>49</v>
      </c>
      <c r="C15" s="1" t="s">
        <v>55</v>
      </c>
      <c r="D15" s="4">
        <v>46185.684594907405</v>
      </c>
      <c r="E15" s="1" t="s">
        <v>13</v>
      </c>
      <c r="F15" s="1" t="s">
        <v>14</v>
      </c>
      <c r="G15" s="1">
        <v>0.0</v>
      </c>
      <c r="H15" s="1">
        <v>0.0</v>
      </c>
      <c r="I15" s="2" t="str">
        <f t="shared" si="8"/>
        <v>https://datasport-ai.github.io/Milo_Formular/form-inactive.html?email=anja_matiza%40yahoo.de</v>
      </c>
      <c r="J15" s="3" t="str">
        <f t="shared" ref="J15:J17" si="9">IFS(G15=0, "inactive")</f>
        <v>inactive</v>
      </c>
    </row>
    <row r="16" hidden="1">
      <c r="A16" s="1" t="s">
        <v>56</v>
      </c>
      <c r="B16" s="1" t="s">
        <v>57</v>
      </c>
      <c r="C16" s="1" t="s">
        <v>58</v>
      </c>
      <c r="D16" s="4">
        <v>46192.861030092594</v>
      </c>
      <c r="E16" s="1" t="s">
        <v>13</v>
      </c>
      <c r="F16" s="1" t="s">
        <v>14</v>
      </c>
      <c r="G16" s="1">
        <v>0.0</v>
      </c>
      <c r="H16" s="1">
        <v>0.0</v>
      </c>
      <c r="I16" s="2" t="str">
        <f t="shared" si="8"/>
        <v>https://datasport-ai.github.io/Milo_Formular/form-inactive.html?email=anke.leekens%40gmail.com</v>
      </c>
      <c r="J16" s="3" t="str">
        <f t="shared" si="9"/>
        <v>inactive</v>
      </c>
    </row>
    <row r="17" hidden="1">
      <c r="A17" s="1" t="s">
        <v>59</v>
      </c>
      <c r="B17" s="1" t="s">
        <v>60</v>
      </c>
      <c r="C17" s="1" t="s">
        <v>61</v>
      </c>
      <c r="D17" s="4">
        <v>46156.87820601852</v>
      </c>
      <c r="E17" s="1" t="s">
        <v>13</v>
      </c>
      <c r="F17" s="1" t="s">
        <v>14</v>
      </c>
      <c r="G17" s="1">
        <v>0.0</v>
      </c>
      <c r="H17" s="1">
        <v>0.0</v>
      </c>
      <c r="I17" s="2" t="str">
        <f t="shared" si="8"/>
        <v>https://datasport-ai.github.io/Milo_Formular/form-inactive.html?email=aurelia.kraus%40gmail.com</v>
      </c>
      <c r="J17" s="3" t="str">
        <f t="shared" si="9"/>
        <v>inactive</v>
      </c>
    </row>
    <row r="18" hidden="1">
      <c r="A18" s="1" t="s">
        <v>62</v>
      </c>
      <c r="B18" s="1" t="s">
        <v>63</v>
      </c>
      <c r="C18" s="1" t="s">
        <v>64</v>
      </c>
      <c r="D18" s="4">
        <v>46162.32015046296</v>
      </c>
      <c r="E18" s="1" t="s">
        <v>13</v>
      </c>
      <c r="F18" s="1" t="s">
        <v>14</v>
      </c>
      <c r="G18" s="1">
        <v>1.0</v>
      </c>
      <c r="H18" s="1">
        <v>1.0</v>
      </c>
      <c r="I18" s="2" t="str">
        <f>"https://datasport-ai.github.io/Milo_Formular/form-active.html?email="&amp;ENCODEURL(A18)</f>
        <v>https://datasport-ai.github.io/Milo_Formular/form-active.html?email=b.lelp%40bluewin.ch</v>
      </c>
      <c r="J18" s="3" t="str">
        <f>IFS(H18/G18&gt;=0.5,"active",H18/G18&lt;0.5,"inactive")</f>
        <v>active</v>
      </c>
    </row>
    <row r="19" hidden="1">
      <c r="A19" s="1" t="s">
        <v>65</v>
      </c>
      <c r="B19" s="1" t="s">
        <v>66</v>
      </c>
      <c r="C19" s="1" t="s">
        <v>67</v>
      </c>
      <c r="D19" s="4">
        <v>46162.324837962966</v>
      </c>
      <c r="E19" s="1" t="s">
        <v>13</v>
      </c>
      <c r="F19" s="1" t="s">
        <v>14</v>
      </c>
      <c r="G19" s="1">
        <v>0.0</v>
      </c>
      <c r="H19" s="1">
        <v>0.0</v>
      </c>
      <c r="I19" s="2" t="str">
        <f>"https://datasport-ai.github.io/Milo_Formular/form-inactive.html?email="&amp;ENCODEURL(A19)</f>
        <v>https://datasport-ai.github.io/Milo_Formular/form-inactive.html?email=b.verhaeghe1803%40gmail.com</v>
      </c>
      <c r="J19" s="3" t="str">
        <f>IFS(G19=0, "inactive")</f>
        <v>inactive</v>
      </c>
    </row>
    <row r="20" hidden="1">
      <c r="A20" s="1" t="s">
        <v>68</v>
      </c>
      <c r="B20" s="1" t="s">
        <v>69</v>
      </c>
      <c r="C20" s="1" t="s">
        <v>70</v>
      </c>
      <c r="D20" s="4">
        <v>46177.73474537037</v>
      </c>
      <c r="E20" s="1" t="s">
        <v>20</v>
      </c>
      <c r="F20" s="1" t="s">
        <v>71</v>
      </c>
      <c r="G20" s="1">
        <v>0.0</v>
      </c>
      <c r="H20" s="1">
        <v>0.0</v>
      </c>
      <c r="I20" s="2" t="str">
        <f t="shared" ref="I20:I22" si="10">"https://datasport-ai.github.io/Milo_Formular/form-onboarding-dropout.html?email="&amp;ENCODEURL(A20)&amp;"&amp;step="&amp;F20</f>
        <v>https://datasport-ai.github.io/Milo_Formular/form-onboarding-dropout.html?email=bernardbryan1%40gmail.com&amp;step=START_DATE</v>
      </c>
      <c r="J20" s="1" t="s">
        <v>22</v>
      </c>
    </row>
    <row r="21" hidden="1">
      <c r="A21" s="1" t="s">
        <v>72</v>
      </c>
      <c r="B21" s="1" t="s">
        <v>73</v>
      </c>
      <c r="C21" s="1" t="s">
        <v>74</v>
      </c>
      <c r="D21" s="4">
        <v>46159.79649305555</v>
      </c>
      <c r="E21" s="1" t="s">
        <v>20</v>
      </c>
      <c r="F21" s="1" t="s">
        <v>75</v>
      </c>
      <c r="G21" s="1">
        <v>0.0</v>
      </c>
      <c r="H21" s="1">
        <v>0.0</v>
      </c>
      <c r="I21" s="2" t="str">
        <f t="shared" si="10"/>
        <v>https://datasport-ai.github.io/Milo_Formular/form-onboarding-dropout.html?email=bernardesvera83%40gmail.com&amp;step=GOAL_SETTING</v>
      </c>
      <c r="J21" s="1" t="s">
        <v>22</v>
      </c>
    </row>
    <row r="22" hidden="1">
      <c r="A22" s="1" t="s">
        <v>76</v>
      </c>
      <c r="B22" s="1" t="s">
        <v>77</v>
      </c>
      <c r="C22" s="1" t="s">
        <v>78</v>
      </c>
      <c r="D22" s="4">
        <v>46181.36827546296</v>
      </c>
      <c r="E22" s="1" t="s">
        <v>20</v>
      </c>
      <c r="F22" s="1" t="s">
        <v>29</v>
      </c>
      <c r="G22" s="1">
        <v>0.0</v>
      </c>
      <c r="H22" s="1">
        <v>0.0</v>
      </c>
      <c r="I22" s="2" t="str">
        <f t="shared" si="10"/>
        <v>https://datasport-ai.github.io/Milo_Formular/form-onboarding-dropout.html?email=binetti_laura%40hotmail.com&amp;step=RESULTS_PERMISSION</v>
      </c>
      <c r="J22" s="1" t="s">
        <v>22</v>
      </c>
    </row>
    <row r="23" hidden="1">
      <c r="A23" s="1" t="s">
        <v>79</v>
      </c>
      <c r="B23" s="1" t="s">
        <v>80</v>
      </c>
      <c r="C23" s="1" t="s">
        <v>81</v>
      </c>
      <c r="D23" s="4">
        <v>46187.82854166667</v>
      </c>
      <c r="E23" s="1" t="s">
        <v>13</v>
      </c>
      <c r="F23" s="1" t="s">
        <v>14</v>
      </c>
      <c r="G23" s="1">
        <v>1.0</v>
      </c>
      <c r="H23" s="1">
        <v>1.0</v>
      </c>
      <c r="I23" s="2" t="str">
        <f>"https://datasport-ai.github.io/Milo_Formular/form-active.html?email="&amp;ENCODEURL(A23)</f>
        <v>https://datasport-ai.github.io/Milo_Formular/form-active.html?email=brueggerk%40hotmail.com</v>
      </c>
      <c r="J23" s="3" t="str">
        <f>IFS(H23/G23&gt;=0.5,"active",H23/G23&lt;0.5,"inactive")</f>
        <v>active</v>
      </c>
    </row>
    <row r="24" hidden="1">
      <c r="A24" s="1" t="s">
        <v>82</v>
      </c>
      <c r="B24" s="1" t="s">
        <v>83</v>
      </c>
      <c r="C24" s="1" t="s">
        <v>84</v>
      </c>
      <c r="D24" s="4">
        <v>46186.543900462966</v>
      </c>
      <c r="E24" s="1" t="s">
        <v>13</v>
      </c>
      <c r="F24" s="1" t="s">
        <v>14</v>
      </c>
      <c r="G24" s="1">
        <v>0.0</v>
      </c>
      <c r="H24" s="1">
        <v>0.0</v>
      </c>
      <c r="I24" s="2" t="str">
        <f t="shared" ref="I24:I25" si="11">"https://datasport-ai.github.io/Milo_Formular/form-inactive.html?email="&amp;ENCODEURL(A24)</f>
        <v>https://datasport-ai.github.io/Milo_Formular/form-inactive.html?email=c.alejandra.flueckiger%40gmaiil.com</v>
      </c>
      <c r="J24" s="3" t="str">
        <f t="shared" ref="J24:J25" si="12">IFS(G24=0, "inactive")</f>
        <v>inactive</v>
      </c>
    </row>
    <row r="25" hidden="1">
      <c r="A25" s="1" t="s">
        <v>85</v>
      </c>
      <c r="B25" s="1" t="s">
        <v>86</v>
      </c>
      <c r="C25" s="1" t="s">
        <v>87</v>
      </c>
      <c r="D25" s="4">
        <v>46183.41438657408</v>
      </c>
      <c r="E25" s="1" t="s">
        <v>13</v>
      </c>
      <c r="F25" s="1" t="s">
        <v>14</v>
      </c>
      <c r="G25" s="1">
        <v>0.0</v>
      </c>
      <c r="H25" s="1">
        <v>0.0</v>
      </c>
      <c r="I25" s="2" t="str">
        <f t="shared" si="11"/>
        <v>https://datasport-ai.github.io/Milo_Formular/form-inactive.html?email=C.daellenbach%40gmx.net</v>
      </c>
      <c r="J25" s="3" t="str">
        <f t="shared" si="12"/>
        <v>inactive</v>
      </c>
    </row>
    <row r="26" hidden="1">
      <c r="A26" s="1" t="s">
        <v>88</v>
      </c>
      <c r="B26" s="1" t="s">
        <v>89</v>
      </c>
      <c r="C26" s="1" t="s">
        <v>90</v>
      </c>
      <c r="D26" s="4">
        <v>46183.81533564815</v>
      </c>
      <c r="E26" s="1" t="s">
        <v>13</v>
      </c>
      <c r="F26" s="1" t="s">
        <v>14</v>
      </c>
      <c r="G26" s="1">
        <v>1.0</v>
      </c>
      <c r="H26" s="1">
        <v>1.0</v>
      </c>
      <c r="I26" s="2" t="str">
        <f>"https://datasport-ai.github.io/Milo_Formular/form-active.html?email="&amp;ENCODEURL(A26)</f>
        <v>https://datasport-ai.github.io/Milo_Formular/form-active.html?email=c.massy%40hotmail.com</v>
      </c>
      <c r="J26" s="3" t="str">
        <f>IFS(H26/G26&gt;=0.5,"active",H26/G26&lt;0.5,"inactive")</f>
        <v>active</v>
      </c>
    </row>
    <row r="27" hidden="1">
      <c r="A27" s="1" t="s">
        <v>91</v>
      </c>
      <c r="B27" s="1" t="s">
        <v>92</v>
      </c>
      <c r="C27" s="1" t="s">
        <v>93</v>
      </c>
      <c r="D27" s="4">
        <v>46188.834652777776</v>
      </c>
      <c r="E27" s="1" t="s">
        <v>20</v>
      </c>
      <c r="F27" s="1" t="s">
        <v>21</v>
      </c>
      <c r="G27" s="1">
        <v>0.0</v>
      </c>
      <c r="H27" s="1">
        <v>0.0</v>
      </c>
      <c r="I27" s="2" t="str">
        <f t="shared" ref="I27:I28" si="13">"https://datasport-ai.github.io/Milo_Formular/form-onboarding-dropout.html?email="&amp;ENCODEURL(A27)&amp;"&amp;step="&amp;F27</f>
        <v>https://datasport-ai.github.io/Milo_Formular/form-onboarding-dropout.html?email=camille98.lds%40gmail.com&amp;step=WEARABLE_CONNECTION</v>
      </c>
      <c r="J27" s="1" t="s">
        <v>22</v>
      </c>
    </row>
    <row r="28" hidden="1">
      <c r="A28" s="1" t="s">
        <v>94</v>
      </c>
      <c r="B28" s="1" t="s">
        <v>95</v>
      </c>
      <c r="C28" s="1" t="s">
        <v>96</v>
      </c>
      <c r="D28" s="4">
        <v>46174.325011574074</v>
      </c>
      <c r="E28" s="1" t="s">
        <v>20</v>
      </c>
      <c r="F28" s="1" t="s">
        <v>21</v>
      </c>
      <c r="G28" s="1">
        <v>0.0</v>
      </c>
      <c r="H28" s="1">
        <v>0.0</v>
      </c>
      <c r="I28" s="2" t="str">
        <f t="shared" si="13"/>
        <v>https://datasport-ai.github.io/Milo_Formular/form-onboarding-dropout.html?email=cepitaux%40hotmail.com&amp;step=WEARABLE_CONNECTION</v>
      </c>
      <c r="J28" s="1" t="s">
        <v>22</v>
      </c>
    </row>
    <row r="29" hidden="1">
      <c r="A29" s="1" t="s">
        <v>97</v>
      </c>
      <c r="B29" s="1" t="s">
        <v>98</v>
      </c>
      <c r="C29" s="1" t="s">
        <v>99</v>
      </c>
      <c r="D29" s="4">
        <v>46171.25326388889</v>
      </c>
      <c r="E29" s="1" t="s">
        <v>13</v>
      </c>
      <c r="F29" s="1" t="s">
        <v>14</v>
      </c>
      <c r="G29" s="1">
        <v>0.0</v>
      </c>
      <c r="H29" s="1">
        <v>0.0</v>
      </c>
      <c r="I29" s="2" t="str">
        <f t="shared" ref="I29:I33" si="14">"https://datasport-ai.github.io/Milo_Formular/form-inactive.html?email="&amp;ENCODEURL(A29)</f>
        <v>https://datasport-ai.github.io/Milo_Formular/form-inactive.html?email=christof.franz.xaver.hofmann%40gmail.com</v>
      </c>
      <c r="J29" s="3" t="str">
        <f t="shared" ref="J29:J33" si="15">IFS(G29=0, "inactive")</f>
        <v>inactive</v>
      </c>
    </row>
    <row r="30" hidden="1">
      <c r="A30" s="1" t="s">
        <v>100</v>
      </c>
      <c r="B30" s="1" t="s">
        <v>101</v>
      </c>
      <c r="C30" s="1" t="s">
        <v>102</v>
      </c>
      <c r="D30" s="4"/>
      <c r="E30" s="1" t="s">
        <v>13</v>
      </c>
      <c r="F30" s="1" t="s">
        <v>14</v>
      </c>
      <c r="G30" s="1">
        <v>0.0</v>
      </c>
      <c r="H30" s="1">
        <v>0.0</v>
      </c>
      <c r="I30" s="2" t="str">
        <f t="shared" si="14"/>
        <v>https://datasport-ai.github.io/Milo_Formular/form-inactive.html?email=christoph.gysel%40solnet.ch</v>
      </c>
      <c r="J30" s="3" t="str">
        <f t="shared" si="15"/>
        <v>inactive</v>
      </c>
    </row>
    <row r="31" hidden="1">
      <c r="A31" s="1" t="s">
        <v>103</v>
      </c>
      <c r="B31" s="1" t="s">
        <v>101</v>
      </c>
      <c r="C31" s="1" t="s">
        <v>104</v>
      </c>
      <c r="D31" s="4"/>
      <c r="E31" s="1" t="s">
        <v>13</v>
      </c>
      <c r="F31" s="1" t="s">
        <v>14</v>
      </c>
      <c r="G31" s="1">
        <v>0.0</v>
      </c>
      <c r="H31" s="1">
        <v>0.0</v>
      </c>
      <c r="I31" s="2" t="str">
        <f t="shared" si="14"/>
        <v>https://datasport-ai.github.io/Milo_Formular/form-inactive.html?email=christoph%40padel.ch</v>
      </c>
      <c r="J31" s="3" t="str">
        <f t="shared" si="15"/>
        <v>inactive</v>
      </c>
    </row>
    <row r="32" hidden="1">
      <c r="A32" s="1" t="s">
        <v>105</v>
      </c>
      <c r="B32" s="1" t="s">
        <v>106</v>
      </c>
      <c r="C32" s="1" t="s">
        <v>107</v>
      </c>
      <c r="D32" s="4">
        <v>46187.8559837963</v>
      </c>
      <c r="E32" s="1" t="s">
        <v>13</v>
      </c>
      <c r="F32" s="1" t="s">
        <v>14</v>
      </c>
      <c r="G32" s="1">
        <v>0.0</v>
      </c>
      <c r="H32" s="1">
        <v>0.0</v>
      </c>
      <c r="I32" s="2" t="str">
        <f t="shared" si="14"/>
        <v>https://datasport-ai.github.io/Milo_Formular/form-inactive.html?email=chronos88%40bluewin.ch</v>
      </c>
      <c r="J32" s="3" t="str">
        <f t="shared" si="15"/>
        <v>inactive</v>
      </c>
    </row>
    <row r="33" hidden="1">
      <c r="A33" s="1" t="s">
        <v>108</v>
      </c>
      <c r="B33" s="1" t="s">
        <v>109</v>
      </c>
      <c r="C33" s="1" t="s">
        <v>110</v>
      </c>
      <c r="D33" s="4">
        <v>46167.3128125</v>
      </c>
      <c r="E33" s="1" t="s">
        <v>13</v>
      </c>
      <c r="F33" s="1" t="s">
        <v>14</v>
      </c>
      <c r="G33" s="1">
        <v>0.0</v>
      </c>
      <c r="H33" s="1">
        <v>0.0</v>
      </c>
      <c r="I33" s="2" t="str">
        <f t="shared" si="14"/>
        <v>https://datasport-ai.github.io/Milo_Formular/form-inactive.html?email=ciccolini.olivier%40free.fr</v>
      </c>
      <c r="J33" s="3" t="str">
        <f t="shared" si="15"/>
        <v>inactive</v>
      </c>
    </row>
    <row r="34" hidden="1">
      <c r="A34" s="1" t="s">
        <v>111</v>
      </c>
      <c r="B34" s="1" t="s">
        <v>112</v>
      </c>
      <c r="C34" s="1" t="s">
        <v>113</v>
      </c>
      <c r="D34" s="4">
        <v>46180.87842592593</v>
      </c>
      <c r="E34" s="1" t="s">
        <v>20</v>
      </c>
      <c r="F34" s="1" t="s">
        <v>29</v>
      </c>
      <c r="G34" s="1">
        <v>0.0</v>
      </c>
      <c r="H34" s="1">
        <v>0.0</v>
      </c>
      <c r="I34" s="2" t="str">
        <f>"https://datasport-ai.github.io/Milo_Formular/form-onboarding-dropout.html?email="&amp;ENCODEURL(A34)&amp;"&amp;step="&amp;F34</f>
        <v>https://datasport-ai.github.io/Milo_Formular/form-onboarding-dropout.html?email=clganser%40bluewin.ch&amp;step=RESULTS_PERMISSION</v>
      </c>
      <c r="J34" s="1" t="s">
        <v>22</v>
      </c>
    </row>
    <row r="35" hidden="1">
      <c r="A35" s="1" t="s">
        <v>114</v>
      </c>
      <c r="B35" s="1" t="s">
        <v>115</v>
      </c>
      <c r="C35" s="1" t="s">
        <v>116</v>
      </c>
      <c r="D35" s="4">
        <v>46171.62116898148</v>
      </c>
      <c r="E35" s="1" t="s">
        <v>13</v>
      </c>
      <c r="F35" s="1" t="s">
        <v>14</v>
      </c>
      <c r="G35" s="1">
        <v>5.0</v>
      </c>
      <c r="H35" s="1">
        <v>0.0</v>
      </c>
      <c r="I35" s="2" t="str">
        <f t="shared" ref="I35:I39" si="16">"https://datasport-ai.github.io/Milo_Formular/form-inactive.html?email="&amp;ENCODEURL(A35)</f>
        <v>https://datasport-ai.github.io/Milo_Formular/form-inactive.html?email=cnszp.mrket%40gmail.com</v>
      </c>
      <c r="J35" s="3" t="str">
        <f>IFS(H35/G35&gt;=0.5,"active",H35/G35&lt;0.5,"inactive")</f>
        <v>inactive</v>
      </c>
    </row>
    <row r="36" hidden="1">
      <c r="A36" s="1" t="s">
        <v>117</v>
      </c>
      <c r="B36" s="1" t="s">
        <v>118</v>
      </c>
      <c r="C36" s="1" t="s">
        <v>119</v>
      </c>
      <c r="D36" s="4">
        <v>46181.5353125</v>
      </c>
      <c r="E36" s="1" t="s">
        <v>13</v>
      </c>
      <c r="F36" s="1" t="s">
        <v>14</v>
      </c>
      <c r="G36" s="1">
        <v>0.0</v>
      </c>
      <c r="H36" s="1">
        <v>0.0</v>
      </c>
      <c r="I36" s="2" t="str">
        <f t="shared" si="16"/>
        <v>https://datasport-ai.github.io/Milo_Formular/form-inactive.html?email=d.diachenko%2B1%40flex-solution.com</v>
      </c>
      <c r="J36" s="3" t="str">
        <f t="shared" ref="J36:J39" si="17">IFS(G36=0, "inactive")</f>
        <v>inactive</v>
      </c>
    </row>
    <row r="37" hidden="1">
      <c r="A37" s="1" t="s">
        <v>120</v>
      </c>
      <c r="B37" s="1" t="s">
        <v>121</v>
      </c>
      <c r="C37" s="1" t="s">
        <v>122</v>
      </c>
      <c r="D37" s="4"/>
      <c r="E37" s="1" t="s">
        <v>13</v>
      </c>
      <c r="F37" s="1" t="s">
        <v>14</v>
      </c>
      <c r="G37" s="1">
        <v>0.0</v>
      </c>
      <c r="H37" s="1">
        <v>0.0</v>
      </c>
      <c r="I37" s="2" t="str">
        <f t="shared" si="16"/>
        <v>https://datasport-ai.github.io/Milo_Formular/form-inactive.html?email=daniel.menghini%40mac.com</v>
      </c>
      <c r="J37" s="3" t="str">
        <f t="shared" si="17"/>
        <v>inactive</v>
      </c>
    </row>
    <row r="38" hidden="1">
      <c r="A38" s="1" t="s">
        <v>123</v>
      </c>
      <c r="B38" s="1" t="s">
        <v>121</v>
      </c>
      <c r="C38" s="1" t="s">
        <v>124</v>
      </c>
      <c r="D38" s="4"/>
      <c r="E38" s="1" t="s">
        <v>13</v>
      </c>
      <c r="F38" s="1" t="s">
        <v>14</v>
      </c>
      <c r="G38" s="1">
        <v>0.0</v>
      </c>
      <c r="H38" s="1">
        <v>0.0</v>
      </c>
      <c r="I38" s="2" t="str">
        <f t="shared" si="16"/>
        <v>https://datasport-ai.github.io/Milo_Formular/form-inactive.html?email=daniel.schweizer%40me.com</v>
      </c>
      <c r="J38" s="3" t="str">
        <f t="shared" si="17"/>
        <v>inactive</v>
      </c>
    </row>
    <row r="39" hidden="1">
      <c r="A39" s="1" t="s">
        <v>125</v>
      </c>
      <c r="B39" s="1" t="s">
        <v>126</v>
      </c>
      <c r="C39" s="1" t="s">
        <v>127</v>
      </c>
      <c r="D39" s="4">
        <v>46162.76306712963</v>
      </c>
      <c r="E39" s="1" t="s">
        <v>13</v>
      </c>
      <c r="F39" s="1" t="s">
        <v>14</v>
      </c>
      <c r="G39" s="1">
        <v>0.0</v>
      </c>
      <c r="H39" s="1">
        <v>0.0</v>
      </c>
      <c r="I39" s="2" t="str">
        <f t="shared" si="16"/>
        <v>https://datasport-ai.github.io/Milo_Formular/form-inactive.html?email=Danieladoerner%40hotmail.com</v>
      </c>
      <c r="J39" s="3" t="str">
        <f t="shared" si="17"/>
        <v>inactive</v>
      </c>
    </row>
    <row r="40" hidden="1">
      <c r="A40" s="1" t="s">
        <v>128</v>
      </c>
      <c r="B40" s="1" t="s">
        <v>126</v>
      </c>
      <c r="C40" s="1" t="s">
        <v>129</v>
      </c>
      <c r="D40" s="4">
        <v>46156.470185185186</v>
      </c>
      <c r="E40" s="1" t="s">
        <v>13</v>
      </c>
      <c r="F40" s="1" t="s">
        <v>14</v>
      </c>
      <c r="G40" s="1">
        <v>3.0</v>
      </c>
      <c r="H40" s="1">
        <v>2.0</v>
      </c>
      <c r="I40" s="2" t="str">
        <f>"https://datasport-ai.github.io/Milo_Formular/form-active.html?email="&amp;ENCODEURL(A40)</f>
        <v>https://datasport-ai.github.io/Milo_Formular/form-active.html?email=Daninela%40gmx.ch</v>
      </c>
      <c r="J40" s="3" t="str">
        <f>IFS(H40/G40&gt;=0.5,"active",H40/G40&lt;0.5,"inactive")</f>
        <v>active</v>
      </c>
    </row>
    <row r="41" hidden="1">
      <c r="A41" s="1" t="s">
        <v>130</v>
      </c>
      <c r="B41" s="1" t="s">
        <v>131</v>
      </c>
      <c r="C41" s="1" t="s">
        <v>132</v>
      </c>
      <c r="D41" s="4">
        <v>46175.74466435185</v>
      </c>
      <c r="E41" s="1" t="s">
        <v>13</v>
      </c>
      <c r="F41" s="1" t="s">
        <v>14</v>
      </c>
      <c r="G41" s="1">
        <v>0.0</v>
      </c>
      <c r="H41" s="1">
        <v>0.0</v>
      </c>
      <c r="I41" s="2" t="str">
        <f t="shared" ref="I41:I42" si="18">"https://datasport-ai.github.io/Milo_Formular/form-inactive.html?email="&amp;ENCODEURL(A41)</f>
        <v>https://datasport-ai.github.io/Milo_Formular/form-inactive.html?email=delacroix.victor%40outlook.fr</v>
      </c>
      <c r="J41" s="3" t="str">
        <f t="shared" ref="J41:J42" si="19">IFS(G41=0, "inactive")</f>
        <v>inactive</v>
      </c>
    </row>
    <row r="42" hidden="1">
      <c r="A42" s="1" t="s">
        <v>133</v>
      </c>
      <c r="B42" s="1" t="s">
        <v>134</v>
      </c>
      <c r="C42" s="1" t="s">
        <v>135</v>
      </c>
      <c r="D42" s="4"/>
      <c r="E42" s="1" t="s">
        <v>13</v>
      </c>
      <c r="F42" s="1" t="s">
        <v>14</v>
      </c>
      <c r="G42" s="1">
        <v>0.0</v>
      </c>
      <c r="H42" s="1">
        <v>0.0</v>
      </c>
      <c r="I42" s="2" t="str">
        <f t="shared" si="18"/>
        <v>https://datasport-ai.github.io/Milo_Formular/form-inactive.html?email=denise.marti%40gawnet.ch</v>
      </c>
      <c r="J42" s="3" t="str">
        <f t="shared" si="19"/>
        <v>inactive</v>
      </c>
    </row>
    <row r="43" hidden="1">
      <c r="A43" s="1" t="s">
        <v>136</v>
      </c>
      <c r="B43" s="1" t="s">
        <v>137</v>
      </c>
      <c r="C43" s="1" t="s">
        <v>138</v>
      </c>
      <c r="D43" s="4">
        <v>46184.394375</v>
      </c>
      <c r="E43" s="1" t="s">
        <v>20</v>
      </c>
      <c r="F43" s="1" t="s">
        <v>75</v>
      </c>
      <c r="G43" s="1">
        <v>0.0</v>
      </c>
      <c r="H43" s="1">
        <v>0.0</v>
      </c>
      <c r="I43" s="2" t="str">
        <f>"https://datasport-ai.github.io/Milo_Formular/form-onboarding-dropout.html?email="&amp;ENCODEURL(A43)&amp;"&amp;step="&amp;F43</f>
        <v>https://datasport-ai.github.io/Milo_Formular/form-onboarding-dropout.html?email=dieter.herzog%40bluewin.ch&amp;step=GOAL_SETTING</v>
      </c>
      <c r="J43" s="1" t="s">
        <v>22</v>
      </c>
    </row>
    <row r="44" hidden="1">
      <c r="A44" s="1" t="s">
        <v>139</v>
      </c>
      <c r="B44" s="1" t="s">
        <v>140</v>
      </c>
      <c r="C44" s="1" t="s">
        <v>141</v>
      </c>
      <c r="D44" s="4">
        <v>46187.80304398148</v>
      </c>
      <c r="E44" s="1" t="s">
        <v>13</v>
      </c>
      <c r="F44" s="1" t="s">
        <v>14</v>
      </c>
      <c r="G44" s="1">
        <v>2.0</v>
      </c>
      <c r="H44" s="1">
        <v>2.0</v>
      </c>
      <c r="I44" s="2" t="str">
        <f>"https://datasport-ai.github.io/Milo_Formular/form-active.html?email="&amp;ENCODEURL(A44)</f>
        <v>https://datasport-ai.github.io/Milo_Formular/form-active.html?email=dombarras%40gmail.com</v>
      </c>
      <c r="J44" s="3" t="str">
        <f t="shared" ref="J44:J45" si="20">IFS(H44/G44&gt;=0.5,"active",H44/G44&lt;0.5,"inactive")</f>
        <v>active</v>
      </c>
    </row>
    <row r="45" hidden="1">
      <c r="A45" s="1" t="s">
        <v>142</v>
      </c>
      <c r="B45" s="1" t="s">
        <v>143</v>
      </c>
      <c r="C45" s="1" t="s">
        <v>144</v>
      </c>
      <c r="D45" s="4">
        <v>46180.35296296296</v>
      </c>
      <c r="E45" s="1" t="s">
        <v>13</v>
      </c>
      <c r="F45" s="1" t="s">
        <v>14</v>
      </c>
      <c r="G45" s="1">
        <v>1.0</v>
      </c>
      <c r="H45" s="1">
        <v>0.0</v>
      </c>
      <c r="I45" s="2" t="str">
        <f t="shared" ref="I45:I46" si="21">"https://datasport-ai.github.io/Milo_Formular/form-inactive.html?email="&amp;ENCODEURL(A45)</f>
        <v>https://datasport-ai.github.io/Milo_Formular/form-inactive.html?email=dominik.egloff%40bluewin.ch</v>
      </c>
      <c r="J45" s="3" t="str">
        <f t="shared" si="20"/>
        <v>inactive</v>
      </c>
    </row>
    <row r="46" hidden="1">
      <c r="A46" s="1" t="s">
        <v>145</v>
      </c>
      <c r="B46" s="1" t="s">
        <v>146</v>
      </c>
      <c r="C46" s="1" t="s">
        <v>147</v>
      </c>
      <c r="D46" s="4">
        <v>46187.455775462964</v>
      </c>
      <c r="E46" s="1" t="s">
        <v>13</v>
      </c>
      <c r="F46" s="1" t="s">
        <v>14</v>
      </c>
      <c r="G46" s="1">
        <v>0.0</v>
      </c>
      <c r="H46" s="1">
        <v>0.0</v>
      </c>
      <c r="I46" s="2" t="str">
        <f t="shared" si="21"/>
        <v>https://datasport-ai.github.io/Milo_Formular/form-inactive.html?email=donghiag%40hotmail.it</v>
      </c>
      <c r="J46" s="3" t="str">
        <f>IFS(G46=0, "inactive")</f>
        <v>inactive</v>
      </c>
    </row>
    <row r="47">
      <c r="A47" s="1" t="s">
        <v>148</v>
      </c>
      <c r="B47" s="1" t="s">
        <v>126</v>
      </c>
      <c r="C47" s="1" t="s">
        <v>149</v>
      </c>
      <c r="D47" s="4"/>
      <c r="E47" s="1" t="s">
        <v>20</v>
      </c>
      <c r="F47" s="1" t="s">
        <v>150</v>
      </c>
      <c r="G47" s="1">
        <v>0.0</v>
      </c>
      <c r="H47" s="1">
        <v>0.0</v>
      </c>
      <c r="I47" s="2" t="str">
        <f>"https://datasport-ai.github.io/Milo_Formular/form-onboarding-dropout.html?email="&amp;ENCODEURL(A47)&amp;"&amp;step="&amp;F47</f>
        <v>https://datasport-ai.github.io/Milo_Formular/form-onboarding-dropout.html?email=dremund%40hotmail.ch&amp;step=CONTACT_PREFERENCES</v>
      </c>
      <c r="J47" s="1" t="s">
        <v>22</v>
      </c>
    </row>
    <row r="48" hidden="1">
      <c r="A48" s="1" t="s">
        <v>151</v>
      </c>
      <c r="B48" s="1" t="s">
        <v>152</v>
      </c>
      <c r="C48" s="1" t="s">
        <v>153</v>
      </c>
      <c r="D48" s="4"/>
      <c r="E48" s="1" t="s">
        <v>13</v>
      </c>
      <c r="F48" s="1" t="s">
        <v>14</v>
      </c>
      <c r="G48" s="1">
        <v>0.0</v>
      </c>
      <c r="H48" s="1">
        <v>0.0</v>
      </c>
      <c r="I48" s="2" t="str">
        <f t="shared" ref="I48:I49" si="22">"https://datasport-ai.github.io/Milo_Formular/form-inactive.html?email="&amp;ENCODEURL(A48)</f>
        <v>https://datasport-ai.github.io/Milo_Formular/form-inactive.html?email=eduardo.peire%40gmail.com</v>
      </c>
      <c r="J48" s="3" t="str">
        <f t="shared" ref="J48:J49" si="23">IFS(G48=0, "inactive")</f>
        <v>inactive</v>
      </c>
    </row>
    <row r="49" hidden="1">
      <c r="A49" s="1" t="s">
        <v>154</v>
      </c>
      <c r="B49" s="1" t="s">
        <v>155</v>
      </c>
      <c r="C49" s="1" t="s">
        <v>156</v>
      </c>
      <c r="D49" s="4">
        <v>46183.60957175926</v>
      </c>
      <c r="E49" s="1" t="s">
        <v>13</v>
      </c>
      <c r="F49" s="1" t="s">
        <v>14</v>
      </c>
      <c r="G49" s="1">
        <v>0.0</v>
      </c>
      <c r="H49" s="1">
        <v>0.0</v>
      </c>
      <c r="I49" s="2" t="str">
        <f t="shared" si="22"/>
        <v>https://datasport-ai.github.io/Milo_Formular/form-inactive.html?email=eichler.sarah%40gmx.ch</v>
      </c>
      <c r="J49" s="3" t="str">
        <f t="shared" si="23"/>
        <v>inactive</v>
      </c>
    </row>
    <row r="50" hidden="1">
      <c r="A50" s="1" t="s">
        <v>157</v>
      </c>
      <c r="B50" s="1" t="s">
        <v>158</v>
      </c>
      <c r="C50" s="1" t="s">
        <v>159</v>
      </c>
      <c r="D50" s="4">
        <v>46184.487233796295</v>
      </c>
      <c r="E50" s="1" t="s">
        <v>20</v>
      </c>
      <c r="F50" s="1" t="s">
        <v>29</v>
      </c>
      <c r="G50" s="1">
        <v>0.0</v>
      </c>
      <c r="H50" s="1">
        <v>0.0</v>
      </c>
      <c r="I50" s="2" t="str">
        <f>"https://datasport-ai.github.io/Milo_Formular/form-onboarding-dropout.html?email="&amp;ENCODEURL(A50)&amp;"&amp;step="&amp;F50</f>
        <v>https://datasport-ai.github.io/Milo_Formular/form-onboarding-dropout.html?email=eldon71%40hotmail.fr&amp;step=RESULTS_PERMISSION</v>
      </c>
      <c r="J50" s="1" t="s">
        <v>22</v>
      </c>
    </row>
    <row r="51" hidden="1">
      <c r="A51" s="1" t="s">
        <v>160</v>
      </c>
      <c r="B51" s="1" t="s">
        <v>161</v>
      </c>
      <c r="C51" s="1" t="s">
        <v>162</v>
      </c>
      <c r="D51" s="4">
        <v>46180.624456018515</v>
      </c>
      <c r="E51" s="1" t="s">
        <v>13</v>
      </c>
      <c r="F51" s="1" t="s">
        <v>14</v>
      </c>
      <c r="G51" s="1">
        <v>1.0</v>
      </c>
      <c r="H51" s="1">
        <v>0.0</v>
      </c>
      <c r="I51" s="2" t="str">
        <f t="shared" ref="I51:I53" si="24">"https://datasport-ai.github.io/Milo_Formular/form-inactive.html?email="&amp;ENCODEURL(A51)</f>
        <v>https://datasport-ai.github.io/Milo_Formular/form-inactive.html?email=elodie.guillarme%40wanadoo.fr</v>
      </c>
      <c r="J51" s="3" t="str">
        <f>IFS(H51/G51&gt;=0.5,"active",H51/G51&lt;0.5,"inactive")</f>
        <v>inactive</v>
      </c>
    </row>
    <row r="52" hidden="1">
      <c r="A52" s="1" t="s">
        <v>163</v>
      </c>
      <c r="B52" s="1" t="s">
        <v>164</v>
      </c>
      <c r="C52" s="1" t="s">
        <v>165</v>
      </c>
      <c r="D52" s="4">
        <v>46187.63201388889</v>
      </c>
      <c r="E52" s="1" t="s">
        <v>13</v>
      </c>
      <c r="F52" s="1" t="s">
        <v>14</v>
      </c>
      <c r="G52" s="1">
        <v>0.0</v>
      </c>
      <c r="H52" s="1">
        <v>0.0</v>
      </c>
      <c r="I52" s="2" t="str">
        <f t="shared" si="24"/>
        <v>https://datasport-ai.github.io/Milo_Formular/form-inactive.html?email=erdovolgyi.sz.txl%40gmail.com</v>
      </c>
      <c r="J52" s="3" t="str">
        <f t="shared" ref="J52:J53" si="25">IFS(G52=0, "inactive")</f>
        <v>inactive</v>
      </c>
    </row>
    <row r="53" hidden="1">
      <c r="A53" s="1" t="s">
        <v>166</v>
      </c>
      <c r="B53" s="1" t="s">
        <v>167</v>
      </c>
      <c r="C53" s="1" t="s">
        <v>168</v>
      </c>
      <c r="D53" s="4"/>
      <c r="E53" s="1" t="s">
        <v>13</v>
      </c>
      <c r="F53" s="1" t="s">
        <v>14</v>
      </c>
      <c r="G53" s="1">
        <v>0.0</v>
      </c>
      <c r="H53" s="1">
        <v>0.0</v>
      </c>
      <c r="I53" s="2" t="str">
        <f t="shared" si="24"/>
        <v>https://datasport-ai.github.io/Milo_Formular/form-inactive.html?email=f.morger%40gmx.ch</v>
      </c>
      <c r="J53" s="3" t="str">
        <f t="shared" si="25"/>
        <v>inactive</v>
      </c>
    </row>
    <row r="54">
      <c r="A54" s="1" t="s">
        <v>169</v>
      </c>
      <c r="B54" s="1" t="s">
        <v>170</v>
      </c>
      <c r="C54" s="1" t="s">
        <v>171</v>
      </c>
      <c r="D54" s="4">
        <v>46175.792280092595</v>
      </c>
      <c r="E54" s="1" t="s">
        <v>20</v>
      </c>
      <c r="F54" s="1" t="s">
        <v>150</v>
      </c>
      <c r="G54" s="1">
        <v>0.0</v>
      </c>
      <c r="H54" s="1">
        <v>0.0</v>
      </c>
      <c r="I54" s="2" t="str">
        <f>"https://datasport-ai.github.io/Milo_Formular/form-onboarding-dropout.html?email="&amp;ENCODEURL(A54)&amp;"&amp;step="&amp;F54</f>
        <v>https://datasport-ai.github.io/Milo_Formular/form-onboarding-dropout.html?email=fabiana.gomba%40gmail.com&amp;step=CONTACT_PREFERENCES</v>
      </c>
      <c r="J54" s="1" t="s">
        <v>22</v>
      </c>
    </row>
    <row r="55" hidden="1">
      <c r="A55" s="1" t="s">
        <v>172</v>
      </c>
      <c r="B55" s="1" t="s">
        <v>173</v>
      </c>
      <c r="C55" s="1" t="s">
        <v>174</v>
      </c>
      <c r="D55" s="4">
        <v>46182.491736111115</v>
      </c>
      <c r="E55" s="1" t="s">
        <v>13</v>
      </c>
      <c r="F55" s="1" t="s">
        <v>14</v>
      </c>
      <c r="G55" s="1">
        <v>2.0</v>
      </c>
      <c r="H55" s="1">
        <v>0.0</v>
      </c>
      <c r="I55" s="2" t="str">
        <f t="shared" ref="I55:I60" si="26">"https://datasport-ai.github.io/Milo_Formular/form-inactive.html?email="&amp;ENCODEURL(A55)</f>
        <v>https://datasport-ai.github.io/Milo_Formular/form-inactive.html?email=Fabienne.caluori%40outlook.com</v>
      </c>
      <c r="J55" s="3" t="str">
        <f>IFS(H55/G55&gt;=0.5,"active",H55/G55&lt;0.5,"inactive")</f>
        <v>inactive</v>
      </c>
    </row>
    <row r="56" hidden="1">
      <c r="A56" s="1" t="s">
        <v>175</v>
      </c>
      <c r="B56" s="1" t="s">
        <v>176</v>
      </c>
      <c r="C56" s="1" t="s">
        <v>177</v>
      </c>
      <c r="D56" s="4">
        <v>46175.52893518518</v>
      </c>
      <c r="E56" s="1" t="s">
        <v>13</v>
      </c>
      <c r="F56" s="1" t="s">
        <v>14</v>
      </c>
      <c r="G56" s="1">
        <v>0.0</v>
      </c>
      <c r="H56" s="1">
        <v>0.0</v>
      </c>
      <c r="I56" s="2" t="str">
        <f t="shared" si="26"/>
        <v>https://datasport-ai.github.io/Milo_Formular/form-inactive.html?email=fabrice.fajon%40fer-ge.ch</v>
      </c>
      <c r="J56" s="3" t="str">
        <f>IFS(G56=0, "inactive")</f>
        <v>inactive</v>
      </c>
    </row>
    <row r="57" hidden="1">
      <c r="A57" s="1" t="s">
        <v>178</v>
      </c>
      <c r="B57" s="1" t="s">
        <v>179</v>
      </c>
      <c r="C57" s="1" t="s">
        <v>180</v>
      </c>
      <c r="D57" s="4">
        <v>46172.52987268518</v>
      </c>
      <c r="E57" s="1" t="s">
        <v>13</v>
      </c>
      <c r="F57" s="1" t="s">
        <v>14</v>
      </c>
      <c r="G57" s="1">
        <v>1.0</v>
      </c>
      <c r="H57" s="1">
        <v>0.0</v>
      </c>
      <c r="I57" s="2" t="str">
        <f t="shared" si="26"/>
        <v>https://datasport-ai.github.io/Milo_Formular/form-inactive.html?email=fanny.morend%40hotmail.com</v>
      </c>
      <c r="J57" s="3" t="str">
        <f>IFS(H57/G57&gt;=0.5,"active",H57/G57&lt;0.5,"inactive")</f>
        <v>inactive</v>
      </c>
    </row>
    <row r="58" hidden="1">
      <c r="A58" s="1" t="s">
        <v>181</v>
      </c>
      <c r="B58" s="1" t="s">
        <v>179</v>
      </c>
      <c r="C58" s="1" t="s">
        <v>182</v>
      </c>
      <c r="D58" s="4">
        <v>46194.40193287037</v>
      </c>
      <c r="E58" s="1" t="s">
        <v>13</v>
      </c>
      <c r="F58" s="1" t="s">
        <v>14</v>
      </c>
      <c r="G58" s="1">
        <v>0.0</v>
      </c>
      <c r="H58" s="1">
        <v>0.0</v>
      </c>
      <c r="I58" s="2" t="str">
        <f t="shared" si="26"/>
        <v>https://datasport-ai.github.io/Milo_Formular/form-inactive.html?email=fannygenetelli%40gmail.com</v>
      </c>
      <c r="J58" s="3" t="str">
        <f t="shared" ref="J58:J60" si="27">IFS(G58=0, "inactive")</f>
        <v>inactive</v>
      </c>
    </row>
    <row r="59" hidden="1">
      <c r="A59" s="1" t="s">
        <v>183</v>
      </c>
      <c r="B59" s="1" t="s">
        <v>184</v>
      </c>
      <c r="C59" s="1" t="s">
        <v>185</v>
      </c>
      <c r="D59" s="4">
        <v>46176.872708333336</v>
      </c>
      <c r="E59" s="1" t="s">
        <v>13</v>
      </c>
      <c r="F59" s="1" t="s">
        <v>14</v>
      </c>
      <c r="G59" s="1">
        <v>0.0</v>
      </c>
      <c r="H59" s="1">
        <v>0.0</v>
      </c>
      <c r="I59" s="2" t="str">
        <f t="shared" si="26"/>
        <v>https://datasport-ai.github.io/Milo_Formular/form-inactive.html?email=filipe.azevedo.1212%40hotmail.com</v>
      </c>
      <c r="J59" s="3" t="str">
        <f t="shared" si="27"/>
        <v>inactive</v>
      </c>
    </row>
    <row r="60" hidden="1">
      <c r="A60" s="1" t="s">
        <v>186</v>
      </c>
      <c r="B60" s="1" t="s">
        <v>187</v>
      </c>
      <c r="C60" s="1" t="s">
        <v>188</v>
      </c>
      <c r="D60" s="4">
        <v>46177.48422453704</v>
      </c>
      <c r="E60" s="1" t="s">
        <v>13</v>
      </c>
      <c r="F60" s="1" t="s">
        <v>14</v>
      </c>
      <c r="G60" s="1">
        <v>0.0</v>
      </c>
      <c r="H60" s="1">
        <v>0.0</v>
      </c>
      <c r="I60" s="2" t="str">
        <f t="shared" si="26"/>
        <v>https://datasport-ai.github.io/Milo_Formular/form-inactive.html?email=florent.dufaux%40bluewin.ch</v>
      </c>
      <c r="J60" s="3" t="str">
        <f t="shared" si="27"/>
        <v>inactive</v>
      </c>
    </row>
    <row r="61" hidden="1">
      <c r="A61" s="1" t="s">
        <v>189</v>
      </c>
      <c r="B61" s="1" t="s">
        <v>190</v>
      </c>
      <c r="C61" s="1" t="s">
        <v>191</v>
      </c>
      <c r="D61" s="4">
        <v>46185.81835648148</v>
      </c>
      <c r="E61" s="1" t="s">
        <v>20</v>
      </c>
      <c r="F61" s="1" t="s">
        <v>29</v>
      </c>
      <c r="G61" s="1">
        <v>0.0</v>
      </c>
      <c r="H61" s="1">
        <v>0.0</v>
      </c>
      <c r="I61" s="2" t="str">
        <f t="shared" ref="I61:I62" si="28">"https://datasport-ai.github.io/Milo_Formular/form-onboarding-dropout.html?email="&amp;ENCODEURL(A61)&amp;"&amp;step="&amp;F61</f>
        <v>https://datasport-ai.github.io/Milo_Formular/form-onboarding-dropout.html?email=Gadalexsa%40tuta.io&amp;step=RESULTS_PERMISSION</v>
      </c>
      <c r="J61" s="1" t="s">
        <v>22</v>
      </c>
    </row>
    <row r="62" hidden="1">
      <c r="A62" s="1" t="s">
        <v>192</v>
      </c>
      <c r="B62" s="1" t="s">
        <v>193</v>
      </c>
      <c r="C62" s="1" t="s">
        <v>194</v>
      </c>
      <c r="D62" s="4">
        <v>46184.730266203704</v>
      </c>
      <c r="E62" s="1" t="s">
        <v>20</v>
      </c>
      <c r="F62" s="1" t="s">
        <v>195</v>
      </c>
      <c r="G62" s="1">
        <v>0.0</v>
      </c>
      <c r="H62" s="1">
        <v>0.0</v>
      </c>
      <c r="I62" s="2" t="str">
        <f t="shared" si="28"/>
        <v>https://datasport-ai.github.io/Milo_Formular/form-onboarding-dropout.html?email=gaellepre07%40gmail.com&amp;step=OTHER_SPORT_TYPES</v>
      </c>
      <c r="J62" s="1" t="s">
        <v>22</v>
      </c>
    </row>
    <row r="63" hidden="1">
      <c r="A63" s="1" t="s">
        <v>196</v>
      </c>
      <c r="B63" s="1" t="s">
        <v>197</v>
      </c>
      <c r="C63" s="1" t="s">
        <v>197</v>
      </c>
      <c r="D63" s="4">
        <v>46183.437314814815</v>
      </c>
      <c r="E63" s="1" t="s">
        <v>13</v>
      </c>
      <c r="F63" s="1" t="s">
        <v>14</v>
      </c>
      <c r="G63" s="1">
        <v>0.0</v>
      </c>
      <c r="H63" s="1">
        <v>0.0</v>
      </c>
      <c r="I63" s="2" t="str">
        <f>"https://datasport-ai.github.io/Milo_Formular/form-inactive.html?email="&amp;ENCODEURL(A63)</f>
        <v>https://datasport-ai.github.io/Milo_Formular/form-inactive.html?email=georges.goujon06%40gmail.com</v>
      </c>
      <c r="J63" s="3" t="str">
        <f>IFS(G63=0, "inactive")</f>
        <v>inactive</v>
      </c>
    </row>
    <row r="64" hidden="1">
      <c r="A64" s="1" t="s">
        <v>198</v>
      </c>
      <c r="B64" s="1" t="s">
        <v>199</v>
      </c>
      <c r="C64" s="1" t="s">
        <v>200</v>
      </c>
      <c r="D64" s="4">
        <v>46188.48991898148</v>
      </c>
      <c r="E64" s="1" t="s">
        <v>13</v>
      </c>
      <c r="F64" s="1" t="s">
        <v>14</v>
      </c>
      <c r="G64" s="1">
        <v>4.0</v>
      </c>
      <c r="H64" s="1">
        <v>3.0</v>
      </c>
      <c r="I64" s="2" t="str">
        <f>"https://datasport-ai.github.io/Milo_Formular/form-active.html?email="&amp;ENCODEURL(A64)</f>
        <v>https://datasport-ai.github.io/Milo_Formular/form-active.html?email=giorgia.stoira%40bluewin.ch</v>
      </c>
      <c r="J64" s="3" t="str">
        <f>IFS(H64/G64&gt;=0.5,"active",H64/G64&lt;0.5,"inactive")</f>
        <v>active</v>
      </c>
    </row>
    <row r="65" hidden="1">
      <c r="A65" s="1" t="s">
        <v>201</v>
      </c>
      <c r="B65" s="1" t="s">
        <v>202</v>
      </c>
      <c r="C65" s="1" t="s">
        <v>203</v>
      </c>
      <c r="D65" s="4">
        <v>46182.79574074074</v>
      </c>
      <c r="E65" s="1" t="s">
        <v>20</v>
      </c>
      <c r="F65" s="1" t="s">
        <v>204</v>
      </c>
      <c r="G65" s="1">
        <v>0.0</v>
      </c>
      <c r="H65" s="1">
        <v>0.0</v>
      </c>
      <c r="I65" s="2" t="str">
        <f t="shared" ref="I65:I66" si="29">"https://datasport-ai.github.io/Milo_Formular/form-onboarding-dropout.html?email="&amp;ENCODEURL(A65)&amp;"&amp;step="&amp;F65</f>
        <v>https://datasport-ai.github.io/Milo_Formular/form-onboarding-dropout.html?email=giovanniberselli%40bluewin.ch&amp;step=ARE_YOU_READY_FOR_THE_NEXT_CHALLENGE</v>
      </c>
      <c r="J65" s="1" t="s">
        <v>22</v>
      </c>
    </row>
    <row r="66" hidden="1">
      <c r="A66" s="1" t="s">
        <v>205</v>
      </c>
      <c r="B66" s="1" t="s">
        <v>206</v>
      </c>
      <c r="C66" s="1" t="s">
        <v>207</v>
      </c>
      <c r="D66" s="4">
        <v>46181.31684027778</v>
      </c>
      <c r="E66" s="1" t="s">
        <v>20</v>
      </c>
      <c r="F66" s="1" t="s">
        <v>208</v>
      </c>
      <c r="G66" s="1">
        <v>0.0</v>
      </c>
      <c r="H66" s="1">
        <v>0.0</v>
      </c>
      <c r="I66" s="2" t="str">
        <f t="shared" si="29"/>
        <v>https://datasport-ai.github.io/Milo_Formular/form-onboarding-dropout.html?email=guenther.salathe%40swisscom.com&amp;step=HOW_FAST_CAN_YOU_RUN</v>
      </c>
      <c r="J66" s="1" t="s">
        <v>22</v>
      </c>
    </row>
    <row r="67" hidden="1">
      <c r="A67" s="1" t="s">
        <v>209</v>
      </c>
      <c r="B67" s="1" t="s">
        <v>210</v>
      </c>
      <c r="C67" s="1" t="s">
        <v>211</v>
      </c>
      <c r="D67" s="4"/>
      <c r="E67" s="1" t="s">
        <v>13</v>
      </c>
      <c r="F67" s="1" t="s">
        <v>14</v>
      </c>
      <c r="G67" s="1">
        <v>0.0</v>
      </c>
      <c r="H67" s="1">
        <v>0.0</v>
      </c>
      <c r="I67" s="2" t="str">
        <f>"https://datasport-ai.github.io/Milo_Formular/form-inactive.html?email="&amp;ENCODEURL(A67)</f>
        <v>https://datasport-ai.github.io/Milo_Formular/form-inactive.html?email=h-und-m%40bluewin.ch</v>
      </c>
      <c r="J67" s="3" t="str">
        <f>IFS(G67=0, "inactive")</f>
        <v>inactive</v>
      </c>
    </row>
    <row r="68" hidden="1">
      <c r="A68" s="1" t="s">
        <v>212</v>
      </c>
      <c r="B68" s="1" t="s">
        <v>213</v>
      </c>
      <c r="C68" s="1" t="s">
        <v>214</v>
      </c>
      <c r="D68" s="4">
        <v>46136.32678240741</v>
      </c>
      <c r="E68" s="1" t="s">
        <v>13</v>
      </c>
      <c r="F68" s="1" t="s">
        <v>14</v>
      </c>
      <c r="G68" s="1">
        <v>1.0</v>
      </c>
      <c r="H68" s="1">
        <v>1.0</v>
      </c>
      <c r="I68" s="2" t="str">
        <f>"https://datasport-ai.github.io/Milo_Formular/form-active.html?email="&amp;ENCODEURL(A68)</f>
        <v>https://datasport-ai.github.io/Milo_Formular/form-active.html?email=hanspeter.frey%40hfwriting.ch</v>
      </c>
      <c r="J68" s="3" t="str">
        <f>IFS(H68/G68&gt;=0.5,"active",H68/G68&lt;0.5,"inactive")</f>
        <v>active</v>
      </c>
    </row>
    <row r="69" hidden="1">
      <c r="A69" s="1" t="s">
        <v>215</v>
      </c>
      <c r="B69" s="1" t="s">
        <v>216</v>
      </c>
      <c r="C69" s="1" t="s">
        <v>217</v>
      </c>
      <c r="D69" s="4">
        <v>46186.61859953704</v>
      </c>
      <c r="E69" s="1" t="s">
        <v>13</v>
      </c>
      <c r="F69" s="1" t="s">
        <v>14</v>
      </c>
      <c r="G69" s="1">
        <v>0.0</v>
      </c>
      <c r="H69" s="1">
        <v>0.0</v>
      </c>
      <c r="I69" s="2" t="str">
        <f>"https://datasport-ai.github.io/Milo_Formular/form-inactive.html?email="&amp;ENCODEURL(A69)</f>
        <v>https://datasport-ai.github.io/Milo_Formular/form-inactive.html?email=hardy.rohr%40gmail.com</v>
      </c>
      <c r="J69" s="3" t="str">
        <f>IFS(G69=0, "inactive")</f>
        <v>inactive</v>
      </c>
    </row>
    <row r="70" hidden="1">
      <c r="A70" s="1" t="s">
        <v>218</v>
      </c>
      <c r="B70" s="1" t="s">
        <v>219</v>
      </c>
      <c r="C70" s="1" t="s">
        <v>220</v>
      </c>
      <c r="D70" s="4"/>
      <c r="E70" s="1" t="s">
        <v>20</v>
      </c>
      <c r="F70" s="1" t="s">
        <v>39</v>
      </c>
      <c r="G70" s="1">
        <v>0.0</v>
      </c>
      <c r="H70" s="1">
        <v>0.0</v>
      </c>
      <c r="I70" s="2" t="str">
        <f>"https://datasport-ai.github.io/Milo_Formular/form-onboarding-dropout.html?email="&amp;ENCODEURL(A70)&amp;"&amp;step="&amp;F70</f>
        <v>https://datasport-ai.github.io/Milo_Formular/form-onboarding-dropout.html?email=hess.noemie%40gmail.com&amp;step=WEEKLY_SCHEDULE</v>
      </c>
      <c r="J70" s="1" t="s">
        <v>22</v>
      </c>
    </row>
    <row r="71" hidden="1">
      <c r="A71" s="1" t="s">
        <v>221</v>
      </c>
      <c r="B71" s="1" t="s">
        <v>222</v>
      </c>
      <c r="C71" s="1" t="s">
        <v>223</v>
      </c>
      <c r="D71" s="4">
        <v>46165.45923611111</v>
      </c>
      <c r="E71" s="1" t="s">
        <v>13</v>
      </c>
      <c r="F71" s="1" t="s">
        <v>14</v>
      </c>
      <c r="G71" s="1">
        <v>0.0</v>
      </c>
      <c r="H71" s="1">
        <v>0.0</v>
      </c>
      <c r="I71" s="2" t="str">
        <f>"https://datasport-ai.github.io/Milo_Formular/form-inactive.html?email="&amp;ENCODEURL(A71)</f>
        <v>https://datasport-ai.github.io/Milo_Formular/form-inactive.html?email=imeschkevin%40gmail.com</v>
      </c>
      <c r="J71" s="3" t="str">
        <f>IFS(G71=0, "inactive")</f>
        <v>inactive</v>
      </c>
    </row>
    <row r="72" hidden="1">
      <c r="A72" s="1" t="s">
        <v>224</v>
      </c>
      <c r="B72" s="1" t="s">
        <v>225</v>
      </c>
      <c r="C72" s="1" t="s">
        <v>226</v>
      </c>
      <c r="D72" s="4"/>
      <c r="E72" s="1" t="s">
        <v>20</v>
      </c>
      <c r="F72" s="1" t="s">
        <v>204</v>
      </c>
      <c r="G72" s="1">
        <v>0.0</v>
      </c>
      <c r="H72" s="1">
        <v>0.0</v>
      </c>
      <c r="I72" s="2" t="str">
        <f>"https://datasport-ai.github.io/Milo_Formular/form-onboarding-dropout.html?email="&amp;ENCODEURL(A72)&amp;"&amp;step="&amp;F72</f>
        <v>https://datasport-ai.github.io/Milo_Formular/form-onboarding-dropout.html?email=ineshaueter%40yahoo.de&amp;step=ARE_YOU_READY_FOR_THE_NEXT_CHALLENGE</v>
      </c>
      <c r="J72" s="1" t="s">
        <v>22</v>
      </c>
    </row>
    <row r="73" hidden="1">
      <c r="A73" s="1" t="s">
        <v>227</v>
      </c>
      <c r="B73" s="1" t="s">
        <v>228</v>
      </c>
      <c r="C73" s="1" t="s">
        <v>229</v>
      </c>
      <c r="E73" s="1" t="s">
        <v>13</v>
      </c>
      <c r="F73" s="1" t="s">
        <v>14</v>
      </c>
      <c r="G73" s="1">
        <v>0.0</v>
      </c>
      <c r="H73" s="1">
        <v>0.0</v>
      </c>
      <c r="I73" s="2" t="str">
        <f>"https://datasport-ai.github.io/Milo_Formular/form-inactive.html?email="&amp;ENCODEURL(A73)</f>
        <v>https://datasport-ai.github.io/Milo_Formular/form-inactive.html?email=info%40vecchie.ch</v>
      </c>
      <c r="J73" s="3" t="str">
        <f>IFS(G73=0, "inactive")</f>
        <v>inactive</v>
      </c>
    </row>
    <row r="74" hidden="1">
      <c r="A74" s="1" t="s">
        <v>230</v>
      </c>
      <c r="B74" s="1" t="s">
        <v>231</v>
      </c>
      <c r="C74" s="1" t="s">
        <v>232</v>
      </c>
      <c r="D74" s="4">
        <v>46121.91315972222</v>
      </c>
      <c r="E74" s="1" t="s">
        <v>20</v>
      </c>
      <c r="F74" s="1" t="s">
        <v>29</v>
      </c>
      <c r="G74" s="1">
        <v>0.0</v>
      </c>
      <c r="H74" s="1">
        <v>0.0</v>
      </c>
      <c r="I74" s="2" t="str">
        <f>"https://datasport-ai.github.io/Milo_Formular/form-onboarding-dropout.html?email="&amp;ENCODEURL(A74)&amp;"&amp;step="&amp;F74</f>
        <v>https://datasport-ai.github.io/Milo_Formular/form-onboarding-dropout.html?email=irfanuyar%40gmail.com&amp;step=RESULTS_PERMISSION</v>
      </c>
      <c r="J74" s="1" t="s">
        <v>22</v>
      </c>
    </row>
    <row r="75" hidden="1">
      <c r="A75" s="1" t="s">
        <v>233</v>
      </c>
      <c r="B75" s="1" t="s">
        <v>234</v>
      </c>
      <c r="C75" s="1" t="s">
        <v>235</v>
      </c>
      <c r="D75" s="4"/>
      <c r="E75" s="1" t="s">
        <v>13</v>
      </c>
      <c r="F75" s="1" t="s">
        <v>14</v>
      </c>
      <c r="G75" s="1">
        <v>0.0</v>
      </c>
      <c r="H75" s="1">
        <v>0.0</v>
      </c>
      <c r="I75" s="2" t="str">
        <f t="shared" ref="I75:I77" si="30">"https://datasport-ai.github.io/Milo_Formular/form-inactive.html?email="&amp;ENCODEURL(A75)</f>
        <v>https://datasport-ai.github.io/Milo_Formular/form-inactive.html?email=jakobkurmann1965%40gmail.com</v>
      </c>
      <c r="J75" s="3" t="str">
        <f t="shared" ref="J75:J77" si="31">IFS(G75=0, "inactive")</f>
        <v>inactive</v>
      </c>
    </row>
    <row r="76" hidden="1">
      <c r="A76" s="1" t="s">
        <v>236</v>
      </c>
      <c r="B76" s="1" t="s">
        <v>237</v>
      </c>
      <c r="C76" s="1" t="s">
        <v>238</v>
      </c>
      <c r="D76" s="4">
        <v>46138.61672453704</v>
      </c>
      <c r="E76" s="1" t="s">
        <v>13</v>
      </c>
      <c r="F76" s="1" t="s">
        <v>14</v>
      </c>
      <c r="G76" s="1">
        <v>0.0</v>
      </c>
      <c r="H76" s="1">
        <v>0.0</v>
      </c>
      <c r="I76" s="2" t="str">
        <f t="shared" si="30"/>
        <v>https://datasport-ai.github.io/Milo_Formular/form-inactive.html?email=jasmin.ott1993%40gmail.com</v>
      </c>
      <c r="J76" s="3" t="str">
        <f t="shared" si="31"/>
        <v>inactive</v>
      </c>
    </row>
    <row r="77" hidden="1">
      <c r="A77" s="1" t="s">
        <v>239</v>
      </c>
      <c r="B77" s="1" t="s">
        <v>240</v>
      </c>
      <c r="C77" s="1" t="s">
        <v>241</v>
      </c>
      <c r="E77" s="1" t="s">
        <v>13</v>
      </c>
      <c r="F77" s="1" t="s">
        <v>14</v>
      </c>
      <c r="G77" s="1">
        <v>0.0</v>
      </c>
      <c r="H77" s="1">
        <v>0.0</v>
      </c>
      <c r="I77" s="2" t="str">
        <f t="shared" si="30"/>
        <v>https://datasport-ai.github.io/Milo_Formular/form-inactive.html?email=jboeniger%40bluewin.ch</v>
      </c>
      <c r="J77" s="3" t="str">
        <f t="shared" si="31"/>
        <v>inactive</v>
      </c>
    </row>
    <row r="78" hidden="1">
      <c r="A78" s="1" t="s">
        <v>242</v>
      </c>
      <c r="B78" s="1" t="s">
        <v>243</v>
      </c>
      <c r="C78" s="1" t="s">
        <v>244</v>
      </c>
      <c r="D78" s="4">
        <v>46190.50388888889</v>
      </c>
      <c r="E78" s="1" t="s">
        <v>20</v>
      </c>
      <c r="F78" s="1" t="s">
        <v>245</v>
      </c>
      <c r="G78" s="1">
        <v>0.0</v>
      </c>
      <c r="H78" s="1">
        <v>0.0</v>
      </c>
      <c r="I78" s="2" t="str">
        <f t="shared" ref="I78:I79" si="32">"https://datasport-ai.github.io/Milo_Formular/form-onboarding-dropout.html?email="&amp;ENCODEURL(A78)&amp;"&amp;step="&amp;F78</f>
        <v>https://datasport-ai.github.io/Milo_Formular/form-onboarding-dropout.html?email=jdesbordes01%40gmail.com&amp;step=WEIGHT</v>
      </c>
      <c r="J78" s="1" t="s">
        <v>22</v>
      </c>
    </row>
    <row r="79" hidden="1">
      <c r="A79" s="1" t="s">
        <v>246</v>
      </c>
      <c r="B79" s="1" t="s">
        <v>247</v>
      </c>
      <c r="C79" s="1" t="s">
        <v>248</v>
      </c>
      <c r="D79" s="4">
        <v>46189.83347222222</v>
      </c>
      <c r="E79" s="1" t="s">
        <v>20</v>
      </c>
      <c r="F79" s="1" t="s">
        <v>249</v>
      </c>
      <c r="G79" s="1">
        <v>0.0</v>
      </c>
      <c r="H79" s="1">
        <v>0.0</v>
      </c>
      <c r="I79" s="2" t="str">
        <f t="shared" si="32"/>
        <v>https://datasport-ai.github.io/Milo_Formular/form-onboarding-dropout.html?email=jil.haeusler%40gmail.com&amp;step=MAX_HEART_RATE_BPM</v>
      </c>
      <c r="J79" s="1" t="s">
        <v>22</v>
      </c>
    </row>
    <row r="80" hidden="1">
      <c r="A80" s="1" t="s">
        <v>250</v>
      </c>
      <c r="B80" s="1" t="s">
        <v>243</v>
      </c>
      <c r="C80" s="1" t="s">
        <v>251</v>
      </c>
      <c r="D80" s="4">
        <v>46157.86056712963</v>
      </c>
      <c r="E80" s="1" t="s">
        <v>13</v>
      </c>
      <c r="F80" s="1" t="s">
        <v>14</v>
      </c>
      <c r="G80" s="1">
        <v>1.0</v>
      </c>
      <c r="H80" s="1">
        <v>0.0</v>
      </c>
      <c r="I80" s="2" t="str">
        <f>"https://datasport-ai.github.io/Milo_Formular/form-inactive.html?email="&amp;ENCODEURL(A80)</f>
        <v>https://datasport-ai.github.io/Milo_Formular/form-inactive.html?email=Jobin.julien%40gmail.com</v>
      </c>
      <c r="J80" s="3" t="str">
        <f t="shared" ref="J80:J81" si="33">IFS(H80/G80&gt;=0.5,"active",H80/G80&lt;0.5,"inactive")</f>
        <v>inactive</v>
      </c>
    </row>
    <row r="81" hidden="1">
      <c r="A81" s="1" t="s">
        <v>252</v>
      </c>
      <c r="B81" s="1" t="s">
        <v>253</v>
      </c>
      <c r="C81" s="1" t="s">
        <v>254</v>
      </c>
      <c r="D81" s="4"/>
      <c r="E81" s="1" t="s">
        <v>13</v>
      </c>
      <c r="F81" s="1" t="s">
        <v>14</v>
      </c>
      <c r="G81" s="1">
        <v>9.0</v>
      </c>
      <c r="H81" s="1">
        <v>8.0</v>
      </c>
      <c r="I81" s="2" t="str">
        <f>"https://datasport-ai.github.io/Milo_Formular/form-active.html?email="&amp;ENCODEURL(A81)</f>
        <v>https://datasport-ai.github.io/Milo_Formular/form-active.html?email=joelle.celine%40bluewin.ch</v>
      </c>
      <c r="J81" s="3" t="str">
        <f t="shared" si="33"/>
        <v>active</v>
      </c>
    </row>
    <row r="82" hidden="1">
      <c r="A82" s="1" t="s">
        <v>255</v>
      </c>
      <c r="B82" s="1" t="s">
        <v>256</v>
      </c>
      <c r="C82" s="1" t="s">
        <v>257</v>
      </c>
      <c r="D82" s="4">
        <v>46177.32429398148</v>
      </c>
      <c r="E82" s="1" t="s">
        <v>13</v>
      </c>
      <c r="F82" s="1" t="s">
        <v>14</v>
      </c>
      <c r="G82" s="1">
        <v>0.0</v>
      </c>
      <c r="H82" s="1">
        <v>0.0</v>
      </c>
      <c r="I82" s="2" t="str">
        <f>"https://datasport-ai.github.io/Milo_Formular/form-inactive.html?email="&amp;ENCODEURL(A82)</f>
        <v>https://datasport-ai.github.io/Milo_Formular/form-inactive.html?email=jordan.madelein%40bluewin.ch</v>
      </c>
      <c r="J82" s="3" t="str">
        <f>IFS(G82=0, "inactive")</f>
        <v>inactive</v>
      </c>
    </row>
    <row r="83" hidden="1">
      <c r="A83" s="1" t="s">
        <v>258</v>
      </c>
      <c r="B83" s="1" t="s">
        <v>259</v>
      </c>
      <c r="C83" s="1" t="s">
        <v>260</v>
      </c>
      <c r="D83" s="4">
        <v>46174.857152777775</v>
      </c>
      <c r="E83" s="1" t="s">
        <v>20</v>
      </c>
      <c r="F83" s="1" t="s">
        <v>21</v>
      </c>
      <c r="G83" s="1">
        <v>0.0</v>
      </c>
      <c r="H83" s="1">
        <v>0.0</v>
      </c>
      <c r="I83" s="2" t="str">
        <f t="shared" ref="I83:I84" si="34">"https://datasport-ai.github.io/Milo_Formular/form-onboarding-dropout.html?email="&amp;ENCODEURL(A83)&amp;"&amp;step="&amp;F83</f>
        <v>https://datasport-ai.github.io/Milo_Formular/form-onboarding-dropout.html?email=jordano_abreu%40yahoo.com&amp;step=WEARABLE_CONNECTION</v>
      </c>
      <c r="J83" s="1" t="s">
        <v>22</v>
      </c>
    </row>
    <row r="84" hidden="1">
      <c r="A84" s="1" t="s">
        <v>261</v>
      </c>
      <c r="B84" s="1" t="s">
        <v>262</v>
      </c>
      <c r="C84" s="1" t="s">
        <v>263</v>
      </c>
      <c r="D84" s="4">
        <v>46190.193877314814</v>
      </c>
      <c r="E84" s="1" t="s">
        <v>20</v>
      </c>
      <c r="F84" s="1" t="s">
        <v>21</v>
      </c>
      <c r="G84" s="1">
        <v>0.0</v>
      </c>
      <c r="H84" s="1">
        <v>0.0</v>
      </c>
      <c r="I84" s="2" t="str">
        <f t="shared" si="34"/>
        <v>https://datasport-ai.github.io/Milo_Formular/form-onboarding-dropout.html?email=juliagolaz%40gmail.com&amp;step=WEARABLE_CONNECTION</v>
      </c>
      <c r="J84" s="1" t="s">
        <v>22</v>
      </c>
    </row>
    <row r="85" hidden="1">
      <c r="A85" s="1" t="s">
        <v>264</v>
      </c>
      <c r="B85" s="1" t="s">
        <v>265</v>
      </c>
      <c r="C85" s="1" t="s">
        <v>266</v>
      </c>
      <c r="D85" s="4">
        <v>46174.323125</v>
      </c>
      <c r="E85" s="1" t="s">
        <v>13</v>
      </c>
      <c r="F85" s="1" t="s">
        <v>14</v>
      </c>
      <c r="G85" s="1">
        <v>3.0</v>
      </c>
      <c r="H85" s="1">
        <v>1.0</v>
      </c>
      <c r="I85" s="2" t="str">
        <f t="shared" ref="I85:I88" si="35">"https://datasport-ai.github.io/Milo_Formular/form-inactive.html?email="&amp;ENCODEURL(A85)</f>
        <v>https://datasport-ai.github.io/Milo_Formular/form-inactive.html?email=justineann.sanchez13%40gmail.com</v>
      </c>
      <c r="J85" s="3" t="str">
        <f>IFS(H85/G85&gt;=0.5,"active",H85/G85&lt;0.5,"inactive")</f>
        <v>inactive</v>
      </c>
    </row>
    <row r="86" hidden="1">
      <c r="A86" s="1" t="s">
        <v>267</v>
      </c>
      <c r="B86" s="1" t="s">
        <v>268</v>
      </c>
      <c r="C86" s="1" t="s">
        <v>269</v>
      </c>
      <c r="D86" s="4">
        <v>46183.477222222224</v>
      </c>
      <c r="E86" s="1" t="s">
        <v>13</v>
      </c>
      <c r="F86" s="1" t="s">
        <v>14</v>
      </c>
      <c r="G86" s="1">
        <v>0.0</v>
      </c>
      <c r="H86" s="1">
        <v>0.0</v>
      </c>
      <c r="I86" s="2" t="str">
        <f t="shared" si="35"/>
        <v>https://datasport-ai.github.io/Milo_Formular/form-inactive.html?email=k.becher1096%40gmail.com</v>
      </c>
      <c r="J86" s="3" t="str">
        <f t="shared" ref="J86:J88" si="36">IFS(G86=0, "inactive")</f>
        <v>inactive</v>
      </c>
    </row>
    <row r="87" hidden="1">
      <c r="A87" s="1" t="s">
        <v>270</v>
      </c>
      <c r="B87" s="1" t="s">
        <v>271</v>
      </c>
      <c r="C87" s="1" t="s">
        <v>272</v>
      </c>
      <c r="D87" s="4"/>
      <c r="E87" s="1" t="s">
        <v>13</v>
      </c>
      <c r="F87" s="1" t="s">
        <v>14</v>
      </c>
      <c r="G87" s="1">
        <v>0.0</v>
      </c>
      <c r="H87" s="1">
        <v>0.0</v>
      </c>
      <c r="I87" s="2" t="str">
        <f t="shared" si="35"/>
        <v>https://datasport-ai.github.io/Milo_Formular/form-inactive.html?email=karin.schwab%40besonet.ch</v>
      </c>
      <c r="J87" s="3" t="str">
        <f t="shared" si="36"/>
        <v>inactive</v>
      </c>
    </row>
    <row r="88" hidden="1">
      <c r="A88" s="1" t="s">
        <v>273</v>
      </c>
      <c r="B88" s="1" t="s">
        <v>271</v>
      </c>
      <c r="C88" s="1" t="s">
        <v>274</v>
      </c>
      <c r="D88" s="4"/>
      <c r="E88" s="1" t="s">
        <v>13</v>
      </c>
      <c r="F88" s="1" t="s">
        <v>14</v>
      </c>
      <c r="G88" s="1">
        <v>0.0</v>
      </c>
      <c r="H88" s="1">
        <v>0.0</v>
      </c>
      <c r="I88" s="2" t="str">
        <f t="shared" si="35"/>
        <v>https://datasport-ai.github.io/Milo_Formular/form-inactive.html?email=karin%40atriox.com</v>
      </c>
      <c r="J88" s="3" t="str">
        <f t="shared" si="36"/>
        <v>inactive</v>
      </c>
    </row>
    <row r="89" hidden="1">
      <c r="A89" s="1" t="s">
        <v>275</v>
      </c>
      <c r="B89" s="1" t="s">
        <v>276</v>
      </c>
      <c r="C89" s="1" t="s">
        <v>277</v>
      </c>
      <c r="D89" s="4">
        <v>46155.53973379629</v>
      </c>
      <c r="E89" s="1" t="s">
        <v>20</v>
      </c>
      <c r="F89" s="1" t="s">
        <v>29</v>
      </c>
      <c r="G89" s="1">
        <v>0.0</v>
      </c>
      <c r="H89" s="1">
        <v>0.0</v>
      </c>
      <c r="I89" s="2" t="str">
        <f>"https://datasport-ai.github.io/Milo_Formular/form-onboarding-dropout.html?email="&amp;ENCODEURL(A89)&amp;"&amp;step="&amp;F89</f>
        <v>https://datasport-ai.github.io/Milo_Formular/form-onboarding-dropout.html?email=kat_tam%40hotmail.com&amp;step=RESULTS_PERMISSION</v>
      </c>
      <c r="J89" s="1" t="s">
        <v>22</v>
      </c>
    </row>
    <row r="90" hidden="1">
      <c r="A90" s="1" t="s">
        <v>278</v>
      </c>
      <c r="B90" s="1" t="s">
        <v>279</v>
      </c>
      <c r="C90" s="1" t="s">
        <v>280</v>
      </c>
      <c r="D90" s="4"/>
      <c r="E90" s="1" t="s">
        <v>13</v>
      </c>
      <c r="F90" s="1" t="s">
        <v>14</v>
      </c>
      <c r="G90" s="1">
        <v>3.0</v>
      </c>
      <c r="H90" s="1">
        <v>2.0</v>
      </c>
      <c r="I90" s="2" t="str">
        <f>"https://datasport-ai.github.io/Milo_Formular/form-active.html?email="&amp;ENCODEURL(A90)</f>
        <v>https://datasport-ai.github.io/Milo_Formular/form-active.html?email=kiramueller%40datasport.com</v>
      </c>
      <c r="J90" s="3" t="str">
        <f>IFS(H90/G90&gt;=0.5,"active",H90/G90&lt;0.5,"inactive")</f>
        <v>active</v>
      </c>
    </row>
    <row r="91" hidden="1">
      <c r="A91" s="1" t="s">
        <v>281</v>
      </c>
      <c r="B91" s="1" t="s">
        <v>282</v>
      </c>
      <c r="C91" s="1" t="s">
        <v>283</v>
      </c>
      <c r="D91" s="4">
        <v>46190.78870370371</v>
      </c>
      <c r="E91" s="1" t="s">
        <v>20</v>
      </c>
      <c r="F91" s="1" t="s">
        <v>284</v>
      </c>
      <c r="G91" s="1">
        <v>0.0</v>
      </c>
      <c r="H91" s="1">
        <v>0.0</v>
      </c>
      <c r="I91" s="2" t="str">
        <f>"https://datasport-ai.github.io/Milo_Formular/form-onboarding-dropout.html?email="&amp;ENCODEURL(A91)&amp;"&amp;step="&amp;F91</f>
        <v>https://datasport-ai.github.io/Milo_Formular/form-onboarding-dropout.html?email=l.gandini75%40gmail.com&amp;step=EVENT_SELECTION</v>
      </c>
      <c r="J91" s="1" t="s">
        <v>22</v>
      </c>
    </row>
    <row r="92" hidden="1">
      <c r="A92" s="1" t="s">
        <v>285</v>
      </c>
      <c r="B92" s="1" t="s">
        <v>286</v>
      </c>
      <c r="C92" s="1" t="s">
        <v>287</v>
      </c>
      <c r="D92" s="4">
        <v>46164.27248842592</v>
      </c>
      <c r="E92" s="1" t="s">
        <v>13</v>
      </c>
      <c r="F92" s="1" t="s">
        <v>14</v>
      </c>
      <c r="G92" s="1">
        <v>0.0</v>
      </c>
      <c r="H92" s="1">
        <v>0.0</v>
      </c>
      <c r="I92" s="2" t="str">
        <f t="shared" ref="I92:I94" si="37">"https://datasport-ai.github.io/Milo_Formular/form-inactive.html?email="&amp;ENCODEURL(A92)</f>
        <v>https://datasport-ai.github.io/Milo_Formular/form-inactive.html?email=ladina-grob%40bluewin.ch</v>
      </c>
      <c r="J92" s="3" t="str">
        <f t="shared" ref="J92:J94" si="38">IFS(G92=0, "inactive")</f>
        <v>inactive</v>
      </c>
    </row>
    <row r="93" hidden="1">
      <c r="A93" s="1" t="s">
        <v>288</v>
      </c>
      <c r="B93" s="1" t="s">
        <v>41</v>
      </c>
      <c r="C93" s="1" t="s">
        <v>289</v>
      </c>
      <c r="D93" s="4">
        <v>46160.517060185186</v>
      </c>
      <c r="E93" s="1" t="s">
        <v>13</v>
      </c>
      <c r="F93" s="1" t="s">
        <v>14</v>
      </c>
      <c r="G93" s="1">
        <v>0.0</v>
      </c>
      <c r="H93" s="1">
        <v>0.0</v>
      </c>
      <c r="I93" s="2" t="str">
        <f t="shared" si="37"/>
        <v>https://datasport-ai.github.io/Milo_Formular/form-inactive.html?email=lamberix%40outlook.com</v>
      </c>
      <c r="J93" s="3" t="str">
        <f t="shared" si="38"/>
        <v>inactive</v>
      </c>
    </row>
    <row r="94" hidden="1">
      <c r="A94" s="1" t="s">
        <v>290</v>
      </c>
      <c r="B94" s="1" t="s">
        <v>77</v>
      </c>
      <c r="C94" s="1" t="s">
        <v>291</v>
      </c>
      <c r="D94" s="4">
        <v>46171.92175925926</v>
      </c>
      <c r="E94" s="1" t="s">
        <v>13</v>
      </c>
      <c r="F94" s="1" t="s">
        <v>14</v>
      </c>
      <c r="G94" s="1">
        <v>0.0</v>
      </c>
      <c r="H94" s="1">
        <v>0.0</v>
      </c>
      <c r="I94" s="2" t="str">
        <f t="shared" si="37"/>
        <v>https://datasport-ai.github.io/Milo_Formular/form-inactive.html?email=laura.ciavare%40gmail.com</v>
      </c>
      <c r="J94" s="3" t="str">
        <f t="shared" si="38"/>
        <v>inactive</v>
      </c>
    </row>
    <row r="95" hidden="1">
      <c r="A95" s="1" t="s">
        <v>292</v>
      </c>
      <c r="B95" s="1" t="s">
        <v>77</v>
      </c>
      <c r="C95" s="1" t="s">
        <v>293</v>
      </c>
      <c r="D95" s="4">
        <v>46124.73061342593</v>
      </c>
      <c r="E95" s="1" t="s">
        <v>13</v>
      </c>
      <c r="F95" s="1" t="s">
        <v>14</v>
      </c>
      <c r="G95" s="1">
        <v>7.0</v>
      </c>
      <c r="H95" s="1">
        <v>6.0</v>
      </c>
      <c r="I95" s="2" t="str">
        <f>"https://datasport-ai.github.io/Milo_Formular/form-active.html?email="&amp;ENCODEURL(A95)</f>
        <v>https://datasport-ai.github.io/Milo_Formular/form-active.html?email=laurachwe%40gmail.com</v>
      </c>
      <c r="J95" s="3" t="str">
        <f>IFS(H95/G95&gt;=0.5,"active",H95/G95&lt;0.5,"inactive")</f>
        <v>active</v>
      </c>
    </row>
    <row r="96" hidden="1">
      <c r="A96" s="1" t="s">
        <v>294</v>
      </c>
      <c r="B96" s="1" t="s">
        <v>295</v>
      </c>
      <c r="C96" s="1" t="s">
        <v>296</v>
      </c>
      <c r="D96" s="4">
        <v>46187.57990740741</v>
      </c>
      <c r="E96" s="1" t="s">
        <v>20</v>
      </c>
      <c r="F96" s="1" t="s">
        <v>297</v>
      </c>
      <c r="G96" s="1">
        <v>0.0</v>
      </c>
      <c r="H96" s="1">
        <v>0.0</v>
      </c>
      <c r="I96" s="2" t="str">
        <f>"https://datasport-ai.github.io/Milo_Formular/form-onboarding-dropout.html?email="&amp;ENCODEURL(A96)&amp;"&amp;step="&amp;F96</f>
        <v>https://datasport-ai.github.io/Milo_Formular/form-onboarding-dropout.html?email=leila.bersier%40protonmail.com&amp;step=EXPERIENCE_LEVEL</v>
      </c>
      <c r="J96" s="1" t="s">
        <v>22</v>
      </c>
    </row>
    <row r="97" hidden="1">
      <c r="A97" s="1" t="s">
        <v>298</v>
      </c>
      <c r="B97" s="1" t="s">
        <v>295</v>
      </c>
      <c r="C97" s="1" t="s">
        <v>299</v>
      </c>
      <c r="D97" s="4"/>
      <c r="E97" s="1" t="s">
        <v>13</v>
      </c>
      <c r="F97" s="1" t="s">
        <v>14</v>
      </c>
      <c r="G97" s="1">
        <v>0.0</v>
      </c>
      <c r="H97" s="1">
        <v>0.0</v>
      </c>
      <c r="I97" s="2" t="str">
        <f t="shared" ref="I97:I99" si="39">"https://datasport-ai.github.io/Milo_Formular/form-inactive.html?email="&amp;ENCODEURL(A97)</f>
        <v>https://datasport-ai.github.io/Milo_Formular/form-inactive.html?email=Leila.Soravia%40gmail.com</v>
      </c>
      <c r="J97" s="3" t="str">
        <f t="shared" ref="J97:J99" si="40">IFS(G97=0, "inactive")</f>
        <v>inactive</v>
      </c>
    </row>
    <row r="98" hidden="1">
      <c r="A98" s="1" t="s">
        <v>300</v>
      </c>
      <c r="B98" s="1" t="s">
        <v>301</v>
      </c>
      <c r="C98" s="1" t="s">
        <v>302</v>
      </c>
      <c r="D98" s="4">
        <v>46174.84311342592</v>
      </c>
      <c r="E98" s="1" t="s">
        <v>13</v>
      </c>
      <c r="F98" s="1" t="s">
        <v>14</v>
      </c>
      <c r="G98" s="1">
        <v>0.0</v>
      </c>
      <c r="H98" s="1">
        <v>0.0</v>
      </c>
      <c r="I98" s="2" t="str">
        <f t="shared" si="39"/>
        <v>https://datasport-ai.github.io/Milo_Formular/form-inactive.html?email=lemercier.teixeira%40gmail.com</v>
      </c>
      <c r="J98" s="3" t="str">
        <f t="shared" si="40"/>
        <v>inactive</v>
      </c>
    </row>
    <row r="99" hidden="1">
      <c r="A99" s="1" t="s">
        <v>303</v>
      </c>
      <c r="B99" s="1" t="s">
        <v>304</v>
      </c>
      <c r="C99" s="1" t="s">
        <v>305</v>
      </c>
      <c r="E99" s="1" t="s">
        <v>13</v>
      </c>
      <c r="F99" s="1" t="s">
        <v>14</v>
      </c>
      <c r="G99" s="1">
        <v>0.0</v>
      </c>
      <c r="H99" s="1">
        <v>0.0</v>
      </c>
      <c r="I99" s="2" t="str">
        <f t="shared" si="39"/>
        <v>https://datasport-ai.github.io/Milo_Formular/form-inactive.html?email=lgogniat%40datasport.com</v>
      </c>
      <c r="J99" s="3" t="str">
        <f t="shared" si="40"/>
        <v>inactive</v>
      </c>
    </row>
    <row r="100" hidden="1">
      <c r="A100" s="1" t="s">
        <v>306</v>
      </c>
      <c r="B100" s="1" t="s">
        <v>307</v>
      </c>
      <c r="C100" s="1" t="s">
        <v>308</v>
      </c>
      <c r="D100" s="4">
        <v>46173.82244212963</v>
      </c>
      <c r="E100" s="1" t="s">
        <v>13</v>
      </c>
      <c r="F100" s="1" t="s">
        <v>14</v>
      </c>
      <c r="G100" s="1">
        <v>1.0</v>
      </c>
      <c r="H100" s="1">
        <v>1.0</v>
      </c>
      <c r="I100" s="2" t="str">
        <f>"https://datasport-ai.github.io/Milo_Formular/form-active.html?email="&amp;ENCODEURL(A100)</f>
        <v>https://datasport-ai.github.io/Milo_Formular/form-active.html?email=liline1212%40hotmail.com</v>
      </c>
      <c r="J100" s="3" t="str">
        <f>IFS(H100/G100&gt;=0.5,"active",H100/G100&lt;0.5,"inactive")</f>
        <v>active</v>
      </c>
    </row>
    <row r="101" hidden="1">
      <c r="A101" s="1" t="s">
        <v>309</v>
      </c>
      <c r="B101" s="1" t="s">
        <v>310</v>
      </c>
      <c r="C101" s="1" t="s">
        <v>311</v>
      </c>
      <c r="D101" s="4">
        <v>46119.489895833336</v>
      </c>
      <c r="E101" s="1" t="s">
        <v>20</v>
      </c>
      <c r="F101" s="1" t="s">
        <v>71</v>
      </c>
      <c r="G101" s="1">
        <v>0.0</v>
      </c>
      <c r="H101" s="1">
        <v>0.0</v>
      </c>
      <c r="I101" s="2" t="str">
        <f>"https://datasport-ai.github.io/Milo_Formular/form-onboarding-dropout.html?email="&amp;ENCODEURL(A101)&amp;"&amp;step="&amp;F101</f>
        <v>https://datasport-ai.github.io/Milo_Formular/form-onboarding-dropout.html?email=liv.bachofner%40gmail.com&amp;step=START_DATE</v>
      </c>
      <c r="J101" s="1" t="s">
        <v>22</v>
      </c>
    </row>
    <row r="102" hidden="1">
      <c r="A102" s="1" t="s">
        <v>312</v>
      </c>
      <c r="B102" s="1" t="s">
        <v>313</v>
      </c>
      <c r="C102" s="1" t="s">
        <v>314</v>
      </c>
      <c r="D102" s="4">
        <v>46182.81905092593</v>
      </c>
      <c r="E102" s="1" t="s">
        <v>13</v>
      </c>
      <c r="F102" s="1" t="s">
        <v>14</v>
      </c>
      <c r="G102" s="1">
        <v>0.0</v>
      </c>
      <c r="H102" s="1">
        <v>0.0</v>
      </c>
      <c r="I102" s="2" t="str">
        <f t="shared" ref="I102:I103" si="41">"https://datasport-ai.github.io/Milo_Formular/form-inactive.html?email="&amp;ENCODEURL(A102)</f>
        <v>https://datasport-ai.github.io/Milo_Formular/form-inactive.html?email=loretzjohannazipora%40gmail.com</v>
      </c>
      <c r="J102" s="3" t="str">
        <f t="shared" ref="J102:J103" si="42">IFS(G102=0, "inactive")</f>
        <v>inactive</v>
      </c>
    </row>
    <row r="103" hidden="1">
      <c r="A103" s="1" t="s">
        <v>315</v>
      </c>
      <c r="B103" s="1" t="s">
        <v>316</v>
      </c>
      <c r="C103" s="1" t="s">
        <v>317</v>
      </c>
      <c r="E103" s="1" t="s">
        <v>13</v>
      </c>
      <c r="F103" s="1" t="s">
        <v>14</v>
      </c>
      <c r="G103" s="1">
        <v>0.0</v>
      </c>
      <c r="H103" s="1">
        <v>0.0</v>
      </c>
      <c r="I103" s="2" t="str">
        <f t="shared" si="41"/>
        <v>https://datasport-ai.github.io/Milo_Formular/form-inactive.html?email=loriswalder4%40gmail.com</v>
      </c>
      <c r="J103" s="3" t="str">
        <f t="shared" si="42"/>
        <v>inactive</v>
      </c>
    </row>
    <row r="104" hidden="1">
      <c r="A104" s="1" t="s">
        <v>318</v>
      </c>
      <c r="B104" s="1" t="s">
        <v>282</v>
      </c>
      <c r="C104" s="1" t="s">
        <v>319</v>
      </c>
      <c r="D104" s="4">
        <v>46185.69542824074</v>
      </c>
      <c r="E104" s="1" t="s">
        <v>20</v>
      </c>
      <c r="F104" s="1" t="s">
        <v>29</v>
      </c>
      <c r="G104" s="1">
        <v>0.0</v>
      </c>
      <c r="H104" s="1">
        <v>0.0</v>
      </c>
      <c r="I104" s="2" t="str">
        <f>"https://datasport-ai.github.io/Milo_Formular/form-onboarding-dropout.html?email="&amp;ENCODEURL(A104)&amp;"&amp;step="&amp;F104</f>
        <v>https://datasport-ai.github.io/Milo_Formular/form-onboarding-dropout.html?email=ltiepolo65%40gmail.com&amp;step=RESULTS_PERMISSION</v>
      </c>
      <c r="J104" s="1" t="s">
        <v>22</v>
      </c>
    </row>
    <row r="105" hidden="1">
      <c r="A105" s="1" t="s">
        <v>320</v>
      </c>
      <c r="B105" s="1" t="s">
        <v>321</v>
      </c>
      <c r="C105" s="1" t="s">
        <v>322</v>
      </c>
      <c r="D105" s="4"/>
      <c r="E105" s="1" t="s">
        <v>13</v>
      </c>
      <c r="F105" s="1" t="s">
        <v>14</v>
      </c>
      <c r="G105" s="1">
        <v>2.0</v>
      </c>
      <c r="H105" s="1">
        <v>1.0</v>
      </c>
      <c r="I105" s="2" t="str">
        <f>"https://datasport-ai.github.io/Milo_Formular/form-active.html?email="&amp;ENCODEURL(A105)</f>
        <v>https://datasport-ai.github.io/Milo_Formular/form-active.html?email=ltrees%40datasport.com</v>
      </c>
      <c r="J105" s="3" t="str">
        <f>IFS(H105/G105&gt;=0.5,"active",H105/G105&lt;0.5,"inactive")</f>
        <v>active</v>
      </c>
    </row>
    <row r="106" hidden="1">
      <c r="A106" s="1" t="s">
        <v>323</v>
      </c>
      <c r="B106" s="1" t="s">
        <v>324</v>
      </c>
      <c r="C106" s="1" t="s">
        <v>325</v>
      </c>
      <c r="D106" s="4">
        <v>46155.49392361111</v>
      </c>
      <c r="E106" s="1" t="s">
        <v>20</v>
      </c>
      <c r="F106" s="1" t="s">
        <v>208</v>
      </c>
      <c r="G106" s="1">
        <v>0.0</v>
      </c>
      <c r="H106" s="1">
        <v>0.0</v>
      </c>
      <c r="I106" s="2" t="str">
        <f>"https://datasport-ai.github.io/Milo_Formular/form-onboarding-dropout.html?email="&amp;ENCODEURL(A106)&amp;"&amp;step="&amp;F106</f>
        <v>https://datasport-ai.github.io/Milo_Formular/form-onboarding-dropout.html?email=m.peters96%40aol.com&amp;step=HOW_FAST_CAN_YOU_RUN</v>
      </c>
      <c r="J106" s="1" t="s">
        <v>22</v>
      </c>
    </row>
    <row r="107" hidden="1">
      <c r="A107" s="1" t="s">
        <v>326</v>
      </c>
      <c r="B107" s="1" t="s">
        <v>327</v>
      </c>
      <c r="C107" s="1" t="s">
        <v>328</v>
      </c>
      <c r="D107" s="4"/>
      <c r="E107" s="1" t="s">
        <v>13</v>
      </c>
      <c r="F107" s="1" t="s">
        <v>14</v>
      </c>
      <c r="G107" s="1">
        <v>0.0</v>
      </c>
      <c r="H107" s="1">
        <v>0.0</v>
      </c>
      <c r="I107" s="2" t="str">
        <f t="shared" ref="I107:I108" si="43">"https://datasport-ai.github.io/Milo_Formular/form-inactive.html?email="&amp;ENCODEURL(A107)</f>
        <v>https://datasport-ai.github.io/Milo_Formular/form-inactive.html?email=malet.raphael%40gmail.com</v>
      </c>
      <c r="J107" s="3" t="str">
        <f t="shared" ref="J107:J108" si="44">IFS(G107=0, "inactive")</f>
        <v>inactive</v>
      </c>
    </row>
    <row r="108" hidden="1">
      <c r="A108" s="1" t="s">
        <v>329</v>
      </c>
      <c r="B108" s="1" t="s">
        <v>330</v>
      </c>
      <c r="C108" s="1" t="s">
        <v>331</v>
      </c>
      <c r="D108" s="4">
        <v>46128.54400462963</v>
      </c>
      <c r="E108" s="1" t="s">
        <v>13</v>
      </c>
      <c r="F108" s="1" t="s">
        <v>14</v>
      </c>
      <c r="G108" s="1">
        <v>0.0</v>
      </c>
      <c r="H108" s="1">
        <v>0.0</v>
      </c>
      <c r="I108" s="2" t="str">
        <f t="shared" si="43"/>
        <v>https://datasport-ai.github.io/Milo_Formular/form-inactive.html?email=malin.ekdahl%40gmx.ch</v>
      </c>
      <c r="J108" s="3" t="str">
        <f t="shared" si="44"/>
        <v>inactive</v>
      </c>
    </row>
    <row r="109" hidden="1">
      <c r="A109" s="1" t="s">
        <v>332</v>
      </c>
      <c r="B109" s="1" t="s">
        <v>333</v>
      </c>
      <c r="C109" s="1" t="s">
        <v>334</v>
      </c>
      <c r="D109" s="4">
        <v>46126.69440972222</v>
      </c>
      <c r="E109" s="1" t="s">
        <v>20</v>
      </c>
      <c r="F109" s="1" t="s">
        <v>39</v>
      </c>
      <c r="G109" s="1">
        <v>0.0</v>
      </c>
      <c r="H109" s="1">
        <v>0.0</v>
      </c>
      <c r="I109" s="2" t="str">
        <f>"https://datasport-ai.github.io/Milo_Formular/form-onboarding-dropout.html?email="&amp;ENCODEURL(A109)&amp;"&amp;step="&amp;F109</f>
        <v>https://datasport-ai.github.io/Milo_Formular/form-onboarding-dropout.html?email=malux75%40gmail.com&amp;step=WEEKLY_SCHEDULE</v>
      </c>
      <c r="J109" s="1" t="s">
        <v>22</v>
      </c>
    </row>
    <row r="110" hidden="1">
      <c r="A110" s="1" t="s">
        <v>335</v>
      </c>
      <c r="B110" s="1" t="s">
        <v>336</v>
      </c>
      <c r="C110" s="1" t="s">
        <v>337</v>
      </c>
      <c r="D110" s="4">
        <v>46187.273368055554</v>
      </c>
      <c r="E110" s="1" t="s">
        <v>13</v>
      </c>
      <c r="F110" s="1" t="s">
        <v>14</v>
      </c>
      <c r="G110" s="1">
        <v>0.0</v>
      </c>
      <c r="H110" s="1">
        <v>0.0</v>
      </c>
      <c r="I110" s="2" t="str">
        <f t="shared" ref="I110:I114" si="45">"https://datasport-ai.github.io/Milo_Formular/form-inactive.html?email="&amp;ENCODEURL(A110)</f>
        <v>https://datasport-ai.github.io/Milo_Formular/form-inactive.html?email=marc_francillon%40yahoo.fr</v>
      </c>
      <c r="J110" s="3" t="str">
        <f t="shared" ref="J110:J112" si="46">IFS(G110=0, "inactive")</f>
        <v>inactive</v>
      </c>
    </row>
    <row r="111" hidden="1">
      <c r="A111" s="1" t="s">
        <v>338</v>
      </c>
      <c r="B111" s="1" t="s">
        <v>339</v>
      </c>
      <c r="C111" s="1" t="s">
        <v>340</v>
      </c>
      <c r="D111" s="4">
        <v>46158.3809837963</v>
      </c>
      <c r="E111" s="1" t="s">
        <v>13</v>
      </c>
      <c r="F111" s="1" t="s">
        <v>14</v>
      </c>
      <c r="G111" s="1">
        <v>0.0</v>
      </c>
      <c r="H111" s="1">
        <v>0.0</v>
      </c>
      <c r="I111" s="2" t="str">
        <f t="shared" si="45"/>
        <v>https://datasport-ai.github.io/Milo_Formular/form-inactive.html?email=marc.weber449%40gmail.com</v>
      </c>
      <c r="J111" s="3" t="str">
        <f t="shared" si="46"/>
        <v>inactive</v>
      </c>
    </row>
    <row r="112" hidden="1">
      <c r="A112" s="1" t="s">
        <v>341</v>
      </c>
      <c r="B112" s="1" t="s">
        <v>342</v>
      </c>
      <c r="C112" s="1" t="s">
        <v>101</v>
      </c>
      <c r="D112" s="4">
        <v>46166.84240740741</v>
      </c>
      <c r="E112" s="1" t="s">
        <v>13</v>
      </c>
      <c r="F112" s="1" t="s">
        <v>14</v>
      </c>
      <c r="G112" s="1">
        <v>0.0</v>
      </c>
      <c r="H112" s="1">
        <v>0.0</v>
      </c>
      <c r="I112" s="2" t="str">
        <f t="shared" si="45"/>
        <v>https://datasport-ai.github.io/Milo_Formular/form-inactive.html?email=marcel.chr%40gmail.com</v>
      </c>
      <c r="J112" s="3" t="str">
        <f t="shared" si="46"/>
        <v>inactive</v>
      </c>
    </row>
    <row r="113" hidden="1">
      <c r="A113" s="1" t="s">
        <v>343</v>
      </c>
      <c r="B113" s="1" t="s">
        <v>342</v>
      </c>
      <c r="C113" s="1" t="s">
        <v>344</v>
      </c>
      <c r="D113" s="4">
        <v>46120.22488425926</v>
      </c>
      <c r="E113" s="1" t="s">
        <v>13</v>
      </c>
      <c r="F113" s="1" t="s">
        <v>14</v>
      </c>
      <c r="G113" s="1">
        <v>1.0</v>
      </c>
      <c r="H113" s="1">
        <v>0.0</v>
      </c>
      <c r="I113" s="2" t="str">
        <f t="shared" si="45"/>
        <v>https://datasport-ai.github.io/Milo_Formular/form-inactive.html?email=marcel.urquizo%40gmail.com</v>
      </c>
      <c r="J113" s="3" t="str">
        <f t="shared" ref="J113:J114" si="47">IFS(H113/G113&gt;=0.5,"active",H113/G113&lt;0.5,"inactive")</f>
        <v>inactive</v>
      </c>
    </row>
    <row r="114" hidden="1">
      <c r="A114" s="1" t="s">
        <v>345</v>
      </c>
      <c r="B114" s="1" t="s">
        <v>346</v>
      </c>
      <c r="C114" s="1" t="s">
        <v>347</v>
      </c>
      <c r="D114" s="4">
        <v>46179.269907407404</v>
      </c>
      <c r="E114" s="1" t="s">
        <v>13</v>
      </c>
      <c r="F114" s="1" t="s">
        <v>14</v>
      </c>
      <c r="G114" s="1">
        <v>4.0</v>
      </c>
      <c r="H114" s="1">
        <v>0.0</v>
      </c>
      <c r="I114" s="2" t="str">
        <f t="shared" si="45"/>
        <v>https://datasport-ai.github.io/Milo_Formular/form-inactive.html?email=marci.hohl%40gmail.com</v>
      </c>
      <c r="J114" s="3" t="str">
        <f t="shared" si="47"/>
        <v>inactive</v>
      </c>
    </row>
    <row r="115" hidden="1">
      <c r="A115" s="1" t="s">
        <v>348</v>
      </c>
      <c r="B115" s="1" t="s">
        <v>349</v>
      </c>
      <c r="C115" s="1" t="s">
        <v>350</v>
      </c>
      <c r="D115" s="4">
        <v>46174.36318287037</v>
      </c>
      <c r="E115" s="1" t="s">
        <v>20</v>
      </c>
      <c r="F115" s="1" t="s">
        <v>29</v>
      </c>
      <c r="G115" s="1">
        <v>0.0</v>
      </c>
      <c r="H115" s="1">
        <v>0.0</v>
      </c>
      <c r="I115" s="2" t="str">
        <f t="shared" ref="I115:I116" si="48">"https://datasport-ai.github.io/Milo_Formular/form-onboarding-dropout.html?email="&amp;ENCODEURL(A115)&amp;"&amp;step="&amp;F115</f>
        <v>https://datasport-ai.github.io/Milo_Formular/form-onboarding-dropout.html?email=marijehoekstra%40hotmail.com&amp;step=RESULTS_PERMISSION</v>
      </c>
      <c r="J115" s="1" t="s">
        <v>22</v>
      </c>
    </row>
    <row r="116">
      <c r="A116" s="1" t="s">
        <v>351</v>
      </c>
      <c r="B116" s="1" t="s">
        <v>352</v>
      </c>
      <c r="C116" s="1" t="s">
        <v>353</v>
      </c>
      <c r="D116" s="4">
        <v>46180.59923611111</v>
      </c>
      <c r="E116" s="1" t="s">
        <v>20</v>
      </c>
      <c r="F116" s="1" t="s">
        <v>150</v>
      </c>
      <c r="G116" s="1">
        <v>0.0</v>
      </c>
      <c r="H116" s="1">
        <v>0.0</v>
      </c>
      <c r="I116" s="2" t="str">
        <f t="shared" si="48"/>
        <v>https://datasport-ai.github.io/Milo_Formular/form-onboarding-dropout.html?email=marion.fiorucci%40yahoo.com&amp;step=CONTACT_PREFERENCES</v>
      </c>
      <c r="J116" s="1" t="s">
        <v>22</v>
      </c>
    </row>
    <row r="117" hidden="1">
      <c r="A117" s="1" t="s">
        <v>354</v>
      </c>
      <c r="B117" s="1" t="s">
        <v>355</v>
      </c>
      <c r="C117" s="1" t="s">
        <v>356</v>
      </c>
      <c r="D117" s="4">
        <v>46175.770150462966</v>
      </c>
      <c r="E117" s="1" t="s">
        <v>13</v>
      </c>
      <c r="F117" s="1" t="s">
        <v>14</v>
      </c>
      <c r="G117" s="1">
        <v>0.0</v>
      </c>
      <c r="H117" s="1">
        <v>0.0</v>
      </c>
      <c r="I117" s="2" t="str">
        <f t="shared" ref="I117:I119" si="49">"https://datasport-ai.github.io/Milo_Formular/form-inactive.html?email="&amp;ENCODEURL(A117)</f>
        <v>https://datasport-ai.github.io/Milo_Formular/form-inactive.html?email=Marjorie.seewer%40gmail.com</v>
      </c>
      <c r="J117" s="3" t="str">
        <f t="shared" ref="J117:J119" si="50">IFS(G117=0, "inactive")</f>
        <v>inactive</v>
      </c>
    </row>
    <row r="118" hidden="1">
      <c r="A118" s="1" t="s">
        <v>357</v>
      </c>
      <c r="B118" s="1" t="s">
        <v>358</v>
      </c>
      <c r="C118" s="1" t="s">
        <v>359</v>
      </c>
      <c r="D118" s="4">
        <v>46169.84769675926</v>
      </c>
      <c r="E118" s="1" t="s">
        <v>13</v>
      </c>
      <c r="F118" s="1" t="s">
        <v>14</v>
      </c>
      <c r="G118" s="1">
        <v>0.0</v>
      </c>
      <c r="H118" s="1">
        <v>0.0</v>
      </c>
      <c r="I118" s="2" t="str">
        <f t="shared" si="49"/>
        <v>https://datasport-ai.github.io/Milo_Formular/form-inactive.html?email=martin.mock%40gmx.ch</v>
      </c>
      <c r="J118" s="3" t="str">
        <f t="shared" si="50"/>
        <v>inactive</v>
      </c>
    </row>
    <row r="119" hidden="1">
      <c r="A119" s="1" t="s">
        <v>360</v>
      </c>
      <c r="B119" s="1" t="s">
        <v>358</v>
      </c>
      <c r="C119" s="1" t="s">
        <v>361</v>
      </c>
      <c r="E119" s="1" t="s">
        <v>13</v>
      </c>
      <c r="F119" s="1" t="s">
        <v>14</v>
      </c>
      <c r="G119" s="1">
        <v>0.0</v>
      </c>
      <c r="H119" s="1">
        <v>0.0</v>
      </c>
      <c r="I119" s="2" t="str">
        <f t="shared" si="49"/>
        <v>https://datasport-ai.github.io/Milo_Formular/form-inactive.html?email=Martin.scherrer%2Bprod1%40yooture.com</v>
      </c>
      <c r="J119" s="3" t="str">
        <f t="shared" si="50"/>
        <v>inactive</v>
      </c>
    </row>
    <row r="120" hidden="1">
      <c r="A120" s="1" t="s">
        <v>362</v>
      </c>
      <c r="B120" s="1" t="s">
        <v>363</v>
      </c>
      <c r="C120" s="1" t="s">
        <v>364</v>
      </c>
      <c r="D120" s="4">
        <v>46174.617789351854</v>
      </c>
      <c r="E120" s="1" t="s">
        <v>20</v>
      </c>
      <c r="F120" s="1" t="s">
        <v>21</v>
      </c>
      <c r="G120" s="1">
        <v>0.0</v>
      </c>
      <c r="H120" s="1">
        <v>0.0</v>
      </c>
      <c r="I120" s="2" t="str">
        <f>"https://datasport-ai.github.io/Milo_Formular/form-onboarding-dropout.html?email="&amp;ENCODEURL(A120)&amp;"&amp;step="&amp;F120</f>
        <v>https://datasport-ai.github.io/Milo_Formular/form-onboarding-dropout.html?email=mateydjadjev74%40gmail.com&amp;step=WEARABLE_CONNECTION</v>
      </c>
      <c r="J120" s="1" t="s">
        <v>22</v>
      </c>
    </row>
    <row r="121" hidden="1">
      <c r="A121" s="1" t="s">
        <v>365</v>
      </c>
      <c r="B121" s="1" t="s">
        <v>366</v>
      </c>
      <c r="C121" s="1" t="s">
        <v>367</v>
      </c>
      <c r="D121" s="4">
        <v>46160.77716435185</v>
      </c>
      <c r="E121" s="1" t="s">
        <v>13</v>
      </c>
      <c r="F121" s="1" t="s">
        <v>14</v>
      </c>
      <c r="G121" s="1">
        <v>0.0</v>
      </c>
      <c r="H121" s="1">
        <v>0.0</v>
      </c>
      <c r="I121" s="2" t="str">
        <f t="shared" ref="I121:I124" si="51">"https://datasport-ai.github.io/Milo_Formular/form-inactive.html?email="&amp;ENCODEURL(A121)</f>
        <v>https://datasport-ai.github.io/Milo_Formular/form-inactive.html?email=matteoc4%40hotmail.com</v>
      </c>
      <c r="J121" s="3" t="str">
        <f t="shared" ref="J121:J124" si="52">IFS(G121=0, "inactive")</f>
        <v>inactive</v>
      </c>
    </row>
    <row r="122" hidden="1">
      <c r="A122" s="1" t="s">
        <v>368</v>
      </c>
      <c r="B122" s="1" t="s">
        <v>324</v>
      </c>
      <c r="C122" s="1" t="s">
        <v>369</v>
      </c>
      <c r="D122" s="4">
        <v>46167.63642361111</v>
      </c>
      <c r="E122" s="1" t="s">
        <v>13</v>
      </c>
      <c r="F122" s="1" t="s">
        <v>14</v>
      </c>
      <c r="G122" s="1">
        <v>0.0</v>
      </c>
      <c r="H122" s="1">
        <v>0.0</v>
      </c>
      <c r="I122" s="2" t="str">
        <f t="shared" si="51"/>
        <v>https://datasport-ai.github.io/Milo_Formular/form-inactive.html?email=mbthomas97%40gmail.com</v>
      </c>
      <c r="J122" s="3" t="str">
        <f t="shared" si="52"/>
        <v>inactive</v>
      </c>
    </row>
    <row r="123" hidden="1">
      <c r="A123" s="1" t="s">
        <v>370</v>
      </c>
      <c r="B123" s="1" t="s">
        <v>371</v>
      </c>
      <c r="C123" s="1" t="s">
        <v>372</v>
      </c>
      <c r="E123" s="1" t="s">
        <v>13</v>
      </c>
      <c r="F123" s="1" t="s">
        <v>14</v>
      </c>
      <c r="G123" s="1">
        <v>0.0</v>
      </c>
      <c r="H123" s="1">
        <v>0.0</v>
      </c>
      <c r="I123" s="2" t="str">
        <f t="shared" si="51"/>
        <v>https://datasport-ai.github.io/Milo_Formular/form-inactive.html?email=mel1ni5%40hotmail.com</v>
      </c>
      <c r="J123" s="3" t="str">
        <f t="shared" si="52"/>
        <v>inactive</v>
      </c>
    </row>
    <row r="124" hidden="1">
      <c r="A124" s="1" t="s">
        <v>373</v>
      </c>
      <c r="B124" s="1" t="s">
        <v>374</v>
      </c>
      <c r="C124" s="1" t="s">
        <v>375</v>
      </c>
      <c r="D124" s="4">
        <v>46174.560219907406</v>
      </c>
      <c r="E124" s="1" t="s">
        <v>13</v>
      </c>
      <c r="F124" s="1" t="s">
        <v>14</v>
      </c>
      <c r="G124" s="1">
        <v>0.0</v>
      </c>
      <c r="H124" s="1">
        <v>0.0</v>
      </c>
      <c r="I124" s="2" t="str">
        <f t="shared" si="51"/>
        <v>https://datasport-ai.github.io/Milo_Formular/form-inactive.html?email=messerliaurelie12%40gmail.com</v>
      </c>
      <c r="J124" s="3" t="str">
        <f t="shared" si="52"/>
        <v>inactive</v>
      </c>
    </row>
    <row r="125" hidden="1">
      <c r="A125" s="1" t="s">
        <v>376</v>
      </c>
      <c r="B125" s="1" t="s">
        <v>324</v>
      </c>
      <c r="C125" s="1" t="s">
        <v>377</v>
      </c>
      <c r="D125" s="4">
        <v>46186.34929398148</v>
      </c>
      <c r="E125" s="1" t="s">
        <v>20</v>
      </c>
      <c r="F125" s="1" t="s">
        <v>75</v>
      </c>
      <c r="G125" s="1">
        <v>0.0</v>
      </c>
      <c r="H125" s="1">
        <v>0.0</v>
      </c>
      <c r="I125" s="2" t="str">
        <f>"https://datasport-ai.github.io/Milo_Formular/form-onboarding-dropout.html?email="&amp;ENCODEURL(A125)&amp;"&amp;step="&amp;F125</f>
        <v>https://datasport-ai.github.io/Milo_Formular/form-onboarding-dropout.html?email=michael%40haerdi.ch&amp;step=GOAL_SETTING</v>
      </c>
      <c r="J125" s="1" t="s">
        <v>22</v>
      </c>
    </row>
    <row r="126" hidden="1">
      <c r="A126" s="1" t="s">
        <v>378</v>
      </c>
      <c r="B126" s="1" t="s">
        <v>379</v>
      </c>
      <c r="C126" s="1" t="s">
        <v>380</v>
      </c>
      <c r="D126" s="4">
        <v>46174.727743055555</v>
      </c>
      <c r="E126" s="1" t="s">
        <v>13</v>
      </c>
      <c r="F126" s="1" t="s">
        <v>14</v>
      </c>
      <c r="G126" s="1">
        <v>0.0</v>
      </c>
      <c r="H126" s="1">
        <v>0.0</v>
      </c>
      <c r="I126" s="2" t="str">
        <f t="shared" ref="I126:I128" si="53">"https://datasport-ai.github.io/Milo_Formular/form-inactive.html?email="&amp;ENCODEURL(A126)</f>
        <v>https://datasport-ai.github.io/Milo_Formular/form-inactive.html?email=mikimiku201%40gmail.com</v>
      </c>
      <c r="J126" s="3" t="str">
        <f t="shared" ref="J126:J127" si="54">IFS(G126=0, "inactive")</f>
        <v>inactive</v>
      </c>
    </row>
    <row r="127" hidden="1">
      <c r="A127" s="1" t="s">
        <v>381</v>
      </c>
      <c r="B127" s="1" t="s">
        <v>382</v>
      </c>
      <c r="C127" s="1" t="s">
        <v>383</v>
      </c>
      <c r="E127" s="1" t="s">
        <v>13</v>
      </c>
      <c r="F127" s="1" t="s">
        <v>14</v>
      </c>
      <c r="G127" s="1">
        <v>0.0</v>
      </c>
      <c r="H127" s="1">
        <v>0.0</v>
      </c>
      <c r="I127" s="2" t="str">
        <f t="shared" si="53"/>
        <v>https://datasport-ai.github.io/Milo_Formular/form-inactive.html?email=morten.toft%40ultimate.dk</v>
      </c>
      <c r="J127" s="3" t="str">
        <f t="shared" si="54"/>
        <v>inactive</v>
      </c>
    </row>
    <row r="128" hidden="1">
      <c r="A128" s="1" t="s">
        <v>384</v>
      </c>
      <c r="B128" s="1" t="s">
        <v>385</v>
      </c>
      <c r="C128" s="1" t="s">
        <v>386</v>
      </c>
      <c r="D128" s="4">
        <v>46170.756006944444</v>
      </c>
      <c r="E128" s="1" t="s">
        <v>13</v>
      </c>
      <c r="F128" s="1" t="s">
        <v>14</v>
      </c>
      <c r="G128" s="1">
        <v>5.0</v>
      </c>
      <c r="H128" s="1">
        <v>0.0</v>
      </c>
      <c r="I128" s="2" t="str">
        <f t="shared" si="53"/>
        <v>https://datasport-ai.github.io/Milo_Formular/form-inactive.html?email=mota.jerome%40me.com</v>
      </c>
      <c r="J128" s="3" t="str">
        <f t="shared" ref="J128:J130" si="55">IFS(H128/G128&gt;=0.5,"active",H128/G128&lt;0.5,"inactive")</f>
        <v>inactive</v>
      </c>
    </row>
    <row r="129" hidden="1">
      <c r="A129" s="1" t="s">
        <v>387</v>
      </c>
      <c r="B129" s="1" t="s">
        <v>324</v>
      </c>
      <c r="C129" s="1" t="s">
        <v>388</v>
      </c>
      <c r="D129" s="4">
        <v>46169.257685185185</v>
      </c>
      <c r="E129" s="1" t="s">
        <v>13</v>
      </c>
      <c r="F129" s="1" t="s">
        <v>14</v>
      </c>
      <c r="G129" s="1">
        <v>4.0</v>
      </c>
      <c r="H129" s="1">
        <v>3.0</v>
      </c>
      <c r="I129" s="2" t="str">
        <f t="shared" ref="I129:I130" si="56">"https://datasport-ai.github.io/Milo_Formular/form-active.html?email="&amp;ENCODEURL(A129)</f>
        <v>https://datasport-ai.github.io/Milo_Formular/form-active.html?email=mpbettoni%40gmail.com</v>
      </c>
      <c r="J129" s="3" t="str">
        <f t="shared" si="55"/>
        <v>active</v>
      </c>
    </row>
    <row r="130" hidden="1">
      <c r="A130" s="1" t="s">
        <v>389</v>
      </c>
      <c r="B130" s="1" t="s">
        <v>358</v>
      </c>
      <c r="C130" s="1" t="s">
        <v>361</v>
      </c>
      <c r="D130" s="4"/>
      <c r="E130" s="1" t="s">
        <v>13</v>
      </c>
      <c r="F130" s="1" t="s">
        <v>14</v>
      </c>
      <c r="G130" s="1">
        <v>4.0</v>
      </c>
      <c r="H130" s="1">
        <v>2.0</v>
      </c>
      <c r="I130" s="2" t="str">
        <f t="shared" si="56"/>
        <v>https://datasport-ai.github.io/Milo_Formular/form-active.html?email=mrtnscherrer%40gmail.com</v>
      </c>
      <c r="J130" s="3" t="str">
        <f t="shared" si="55"/>
        <v>active</v>
      </c>
    </row>
    <row r="131" hidden="1">
      <c r="A131" s="1" t="s">
        <v>390</v>
      </c>
      <c r="B131" s="1" t="s">
        <v>391</v>
      </c>
      <c r="C131" s="1">
        <v>2.0</v>
      </c>
      <c r="D131" s="4"/>
      <c r="E131" s="1" t="s">
        <v>13</v>
      </c>
      <c r="F131" s="1" t="s">
        <v>14</v>
      </c>
      <c r="G131" s="1">
        <v>0.0</v>
      </c>
      <c r="H131" s="1">
        <v>0.0</v>
      </c>
      <c r="I131" s="2" t="str">
        <f t="shared" ref="I131:I141" si="57">"https://datasport-ai.github.io/Milo_Formular/form-inactive.html?email="&amp;ENCODEURL(A131)</f>
        <v>https://datasport-ai.github.io/Milo_Formular/form-inactive.html?email=mscherrer%2B1%40datasport.com</v>
      </c>
      <c r="J131" s="3" t="str">
        <f t="shared" ref="J131:J140" si="58">IFS(G131=0, "inactive")</f>
        <v>inactive</v>
      </c>
    </row>
    <row r="132" hidden="1">
      <c r="A132" s="1" t="s">
        <v>392</v>
      </c>
      <c r="B132" s="1" t="s">
        <v>358</v>
      </c>
      <c r="C132" s="1" t="s">
        <v>361</v>
      </c>
      <c r="E132" s="1" t="s">
        <v>13</v>
      </c>
      <c r="F132" s="1" t="s">
        <v>14</v>
      </c>
      <c r="G132" s="1">
        <v>0.0</v>
      </c>
      <c r="H132" s="1">
        <v>0.0</v>
      </c>
      <c r="I132" s="2" t="str">
        <f t="shared" si="57"/>
        <v>https://datasport-ai.github.io/Milo_Formular/form-inactive.html?email=mscherrer%2Bcorosprod%40datasport.com</v>
      </c>
      <c r="J132" s="3" t="str">
        <f t="shared" si="58"/>
        <v>inactive</v>
      </c>
    </row>
    <row r="133" hidden="1">
      <c r="A133" s="1" t="s">
        <v>393</v>
      </c>
      <c r="B133" s="1" t="s">
        <v>358</v>
      </c>
      <c r="C133" s="1" t="s">
        <v>361</v>
      </c>
      <c r="D133" s="4"/>
      <c r="E133" s="1" t="s">
        <v>13</v>
      </c>
      <c r="F133" s="1" t="s">
        <v>14</v>
      </c>
      <c r="G133" s="1">
        <v>0.0</v>
      </c>
      <c r="H133" s="1">
        <v>0.0</v>
      </c>
      <c r="I133" s="2" t="str">
        <f t="shared" si="57"/>
        <v>https://datasport-ai.github.io/Milo_Formular/form-inactive.html?email=mscherrer%2Bfitbitprod%40datasport.com</v>
      </c>
      <c r="J133" s="3" t="str">
        <f t="shared" si="58"/>
        <v>inactive</v>
      </c>
    </row>
    <row r="134" hidden="1">
      <c r="A134" s="1" t="s">
        <v>394</v>
      </c>
      <c r="B134" s="1" t="s">
        <v>395</v>
      </c>
      <c r="C134" s="1" t="s">
        <v>396</v>
      </c>
      <c r="D134" s="4">
        <v>46119.84717592593</v>
      </c>
      <c r="E134" s="1" t="s">
        <v>13</v>
      </c>
      <c r="F134" s="1" t="s">
        <v>14</v>
      </c>
      <c r="G134" s="1">
        <v>0.0</v>
      </c>
      <c r="H134" s="1">
        <v>0.0</v>
      </c>
      <c r="I134" s="2" t="str">
        <f t="shared" si="57"/>
        <v>https://datasport-ai.github.io/Milo_Formular/form-inactive.html?email=mscherrer%2Bflughafen%40datasport.com</v>
      </c>
      <c r="J134" s="3" t="str">
        <f t="shared" si="58"/>
        <v>inactive</v>
      </c>
    </row>
    <row r="135" hidden="1">
      <c r="A135" s="1" t="s">
        <v>397</v>
      </c>
      <c r="B135" s="1" t="s">
        <v>398</v>
      </c>
      <c r="C135" s="1" t="s">
        <v>399</v>
      </c>
      <c r="D135" s="4">
        <v>46113.38849537037</v>
      </c>
      <c r="E135" s="1" t="s">
        <v>13</v>
      </c>
      <c r="F135" s="1" t="s">
        <v>14</v>
      </c>
      <c r="G135" s="1">
        <v>0.0</v>
      </c>
      <c r="H135" s="1">
        <v>0.0</v>
      </c>
      <c r="I135" s="2" t="str">
        <f t="shared" si="57"/>
        <v>https://datasport-ai.github.io/Milo_Formular/form-inactive.html?email=mscherrer%2Bgarminprod2%40datasport.com</v>
      </c>
      <c r="J135" s="3" t="str">
        <f t="shared" si="58"/>
        <v>inactive</v>
      </c>
    </row>
    <row r="136" hidden="1">
      <c r="A136" s="1" t="s">
        <v>400</v>
      </c>
      <c r="B136" s="1" t="s">
        <v>358</v>
      </c>
      <c r="C136" s="1" t="s">
        <v>361</v>
      </c>
      <c r="D136" s="4"/>
      <c r="E136" s="1" t="s">
        <v>13</v>
      </c>
      <c r="F136" s="1" t="s">
        <v>14</v>
      </c>
      <c r="G136" s="1">
        <v>0.0</v>
      </c>
      <c r="H136" s="1">
        <v>0.0</v>
      </c>
      <c r="I136" s="2" t="str">
        <f t="shared" si="57"/>
        <v>https://datasport-ai.github.io/Milo_Formular/form-inactive.html?email=mscherrer%2Bnew%40datasport.com</v>
      </c>
      <c r="J136" s="3" t="str">
        <f t="shared" si="58"/>
        <v>inactive</v>
      </c>
    </row>
    <row r="137" hidden="1">
      <c r="A137" s="1" t="s">
        <v>401</v>
      </c>
      <c r="B137" s="1" t="s">
        <v>137</v>
      </c>
      <c r="C137" s="1" t="s">
        <v>402</v>
      </c>
      <c r="D137" s="4">
        <v>46119.64032407408</v>
      </c>
      <c r="E137" s="1" t="s">
        <v>13</v>
      </c>
      <c r="F137" s="1" t="s">
        <v>14</v>
      </c>
      <c r="G137" s="1">
        <v>0.0</v>
      </c>
      <c r="H137" s="1">
        <v>0.0</v>
      </c>
      <c r="I137" s="2" t="str">
        <f t="shared" si="57"/>
        <v>https://datasport-ai.github.io/Milo_Formular/form-inactive.html?email=mscherrer%2Bonboarding%40datasport.com</v>
      </c>
      <c r="J137" s="3" t="str">
        <f t="shared" si="58"/>
        <v>inactive</v>
      </c>
    </row>
    <row r="138" hidden="1">
      <c r="A138" s="1" t="s">
        <v>403</v>
      </c>
      <c r="B138" s="1" t="s">
        <v>358</v>
      </c>
      <c r="C138" s="1" t="s">
        <v>361</v>
      </c>
      <c r="D138" s="4">
        <v>46157.57042824074</v>
      </c>
      <c r="E138" s="1" t="s">
        <v>13</v>
      </c>
      <c r="F138" s="1" t="s">
        <v>14</v>
      </c>
      <c r="G138" s="1">
        <v>0.0</v>
      </c>
      <c r="H138" s="1">
        <v>0.0</v>
      </c>
      <c r="I138" s="2" t="str">
        <f t="shared" si="57"/>
        <v>https://datasport-ai.github.io/Milo_Formular/form-inactive.html?email=mscherrer%2Bpfa%40datasport.com</v>
      </c>
      <c r="J138" s="3" t="str">
        <f t="shared" si="58"/>
        <v>inactive</v>
      </c>
    </row>
    <row r="139" hidden="1">
      <c r="A139" s="1" t="s">
        <v>404</v>
      </c>
      <c r="B139" s="1" t="s">
        <v>358</v>
      </c>
      <c r="C139" s="1" t="s">
        <v>361</v>
      </c>
      <c r="D139" s="4"/>
      <c r="E139" s="1" t="s">
        <v>13</v>
      </c>
      <c r="F139" s="1" t="s">
        <v>14</v>
      </c>
      <c r="G139" s="1">
        <v>0.0</v>
      </c>
      <c r="H139" s="1">
        <v>0.0</v>
      </c>
      <c r="I139" s="2" t="str">
        <f t="shared" si="57"/>
        <v>https://datasport-ai.github.io/Milo_Formular/form-inactive.html?email=mscherrer%2Bpolarprod%40datasport.com</v>
      </c>
      <c r="J139" s="3" t="str">
        <f t="shared" si="58"/>
        <v>inactive</v>
      </c>
    </row>
    <row r="140" hidden="1">
      <c r="A140" s="1" t="s">
        <v>405</v>
      </c>
      <c r="B140" s="1" t="s">
        <v>358</v>
      </c>
      <c r="C140" s="1" t="s">
        <v>361</v>
      </c>
      <c r="D140" s="4">
        <v>46184.70946759259</v>
      </c>
      <c r="E140" s="1" t="s">
        <v>13</v>
      </c>
      <c r="F140" s="1" t="s">
        <v>14</v>
      </c>
      <c r="G140" s="1">
        <v>0.0</v>
      </c>
      <c r="H140" s="1">
        <v>0.0</v>
      </c>
      <c r="I140" s="2" t="str">
        <f t="shared" si="57"/>
        <v>https://datasport-ai.github.io/Milo_Formular/form-inactive.html?email=mscherrer%2Bprodnew%40datasport.com</v>
      </c>
      <c r="J140" s="3" t="str">
        <f t="shared" si="58"/>
        <v>inactive</v>
      </c>
    </row>
    <row r="141" hidden="1">
      <c r="A141" s="1" t="s">
        <v>406</v>
      </c>
      <c r="B141" s="1" t="s">
        <v>358</v>
      </c>
      <c r="C141" s="1" t="s">
        <v>361</v>
      </c>
      <c r="D141" s="4"/>
      <c r="E141" s="1" t="s">
        <v>13</v>
      </c>
      <c r="F141" s="1" t="s">
        <v>14</v>
      </c>
      <c r="G141" s="1">
        <v>1.0</v>
      </c>
      <c r="H141" s="1">
        <v>0.0</v>
      </c>
      <c r="I141" s="2" t="str">
        <f t="shared" si="57"/>
        <v>https://datasport-ai.github.io/Milo_Formular/form-inactive.html?email=mscherrer%2Bsuuntoprod%40datasport.com</v>
      </c>
      <c r="J141" s="3" t="str">
        <f>IFS(H141/G141&gt;=0.5,"active",H141/G141&lt;0.5,"inactive")</f>
        <v>inactive</v>
      </c>
    </row>
    <row r="142" hidden="1">
      <c r="A142" s="1" t="s">
        <v>407</v>
      </c>
      <c r="B142" s="1" t="s">
        <v>408</v>
      </c>
      <c r="C142" s="1" t="s">
        <v>409</v>
      </c>
      <c r="D142" s="4"/>
      <c r="E142" s="1" t="s">
        <v>20</v>
      </c>
      <c r="F142" s="1" t="s">
        <v>39</v>
      </c>
      <c r="G142" s="1">
        <v>0.0</v>
      </c>
      <c r="H142" s="1">
        <v>0.0</v>
      </c>
      <c r="I142" s="2" t="str">
        <f>"https://datasport-ai.github.io/Milo_Formular/form-onboarding-dropout.html?email="&amp;ENCODEURL(A142)&amp;"&amp;step="&amp;F142</f>
        <v>https://datasport-ai.github.io/Milo_Formular/form-onboarding-dropout.html?email=mudlaffz%40gmail.com&amp;step=WEEKLY_SCHEDULE</v>
      </c>
      <c r="J142" s="1" t="s">
        <v>22</v>
      </c>
    </row>
    <row r="143" hidden="1">
      <c r="A143" s="1" t="s">
        <v>410</v>
      </c>
      <c r="B143" s="1" t="s">
        <v>411</v>
      </c>
      <c r="C143" s="1" t="s">
        <v>412</v>
      </c>
      <c r="D143" s="4">
        <v>46188.832083333335</v>
      </c>
      <c r="E143" s="1" t="s">
        <v>13</v>
      </c>
      <c r="F143" s="1" t="s">
        <v>14</v>
      </c>
      <c r="G143" s="1">
        <v>0.0</v>
      </c>
      <c r="H143" s="1">
        <v>0.0</v>
      </c>
      <c r="I143" s="2" t="str">
        <f>"https://datasport-ai.github.io/Milo_Formular/form-inactive.html?email="&amp;ENCODEURL(A143)</f>
        <v>https://datasport-ai.github.io/Milo_Formular/form-inactive.html?email=muriel.rolle%40hotmail.com</v>
      </c>
      <c r="J143" s="3" t="str">
        <f>IFS(G143=0, "inactive")</f>
        <v>inactive</v>
      </c>
    </row>
    <row r="144" hidden="1">
      <c r="A144" s="1" t="s">
        <v>413</v>
      </c>
      <c r="B144" s="1" t="s">
        <v>414</v>
      </c>
      <c r="C144" s="1" t="s">
        <v>415</v>
      </c>
      <c r="D144" s="4">
        <v>46163.660462962966</v>
      </c>
      <c r="E144" s="1" t="s">
        <v>20</v>
      </c>
      <c r="F144" s="1" t="s">
        <v>29</v>
      </c>
      <c r="G144" s="1">
        <v>0.0</v>
      </c>
      <c r="H144" s="1">
        <v>0.0</v>
      </c>
      <c r="I144" s="2" t="str">
        <f>"https://datasport-ai.github.io/Milo_Formular/form-onboarding-dropout.html?email="&amp;ENCODEURL(A144)&amp;"&amp;step="&amp;F144</f>
        <v>https://datasport-ai.github.io/Milo_Formular/form-onboarding-dropout.html?email=muwangassevume%40gmail.com&amp;step=RESULTS_PERMISSION</v>
      </c>
      <c r="J144" s="1" t="s">
        <v>22</v>
      </c>
    </row>
    <row r="145" hidden="1">
      <c r="A145" s="1" t="s">
        <v>416</v>
      </c>
      <c r="B145" s="1" t="s">
        <v>417</v>
      </c>
      <c r="C145" s="1" t="s">
        <v>418</v>
      </c>
      <c r="D145" s="4">
        <v>46194.35675925926</v>
      </c>
      <c r="E145" s="1" t="s">
        <v>13</v>
      </c>
      <c r="F145" s="1" t="s">
        <v>14</v>
      </c>
      <c r="G145" s="1">
        <v>0.0</v>
      </c>
      <c r="H145" s="1">
        <v>0.0</v>
      </c>
      <c r="I145" s="2" t="str">
        <f t="shared" ref="I145:I147" si="59">"https://datasport-ai.github.io/Milo_Formular/form-inactive.html?email="&amp;ENCODEURL(A145)</f>
        <v>https://datasport-ai.github.io/Milo_Formular/form-inactive.html?email=Nadia.oulaby%40gmail.com</v>
      </c>
      <c r="J145" s="3" t="str">
        <f t="shared" ref="J145:J147" si="60">IFS(G145=0, "inactive")</f>
        <v>inactive</v>
      </c>
    </row>
    <row r="146" hidden="1">
      <c r="A146" s="1" t="s">
        <v>419</v>
      </c>
      <c r="B146" s="1" t="s">
        <v>420</v>
      </c>
      <c r="C146" s="1" t="s">
        <v>421</v>
      </c>
      <c r="D146" s="4">
        <v>46164.573483796295</v>
      </c>
      <c r="E146" s="1" t="s">
        <v>13</v>
      </c>
      <c r="F146" s="1" t="s">
        <v>14</v>
      </c>
      <c r="G146" s="1">
        <v>0.0</v>
      </c>
      <c r="H146" s="1">
        <v>0.0</v>
      </c>
      <c r="I146" s="2" t="str">
        <f t="shared" si="59"/>
        <v>https://datasport-ai.github.io/Milo_Formular/form-inactive.html?email=nassima.lymani%40gmail.com</v>
      </c>
      <c r="J146" s="3" t="str">
        <f t="shared" si="60"/>
        <v>inactive</v>
      </c>
    </row>
    <row r="147" hidden="1">
      <c r="A147" s="1" t="s">
        <v>422</v>
      </c>
      <c r="B147" s="1" t="s">
        <v>423</v>
      </c>
      <c r="C147" s="1" t="s">
        <v>424</v>
      </c>
      <c r="D147" s="4">
        <v>46187.841527777775</v>
      </c>
      <c r="E147" s="1" t="s">
        <v>13</v>
      </c>
      <c r="F147" s="1" t="s">
        <v>14</v>
      </c>
      <c r="G147" s="1">
        <v>0.0</v>
      </c>
      <c r="H147" s="1">
        <v>0.0</v>
      </c>
      <c r="I147" s="2" t="str">
        <f t="shared" si="59"/>
        <v>https://datasport-ai.github.io/Milo_Formular/form-inactive.html?email=nath-m%40bluewin.ch</v>
      </c>
      <c r="J147" s="3" t="str">
        <f t="shared" si="60"/>
        <v>inactive</v>
      </c>
    </row>
    <row r="148" hidden="1">
      <c r="A148" s="1" t="s">
        <v>425</v>
      </c>
      <c r="B148" s="1" t="s">
        <v>426</v>
      </c>
      <c r="C148" s="1" t="s">
        <v>427</v>
      </c>
      <c r="D148" s="4">
        <v>46186.712002314816</v>
      </c>
      <c r="E148" s="1" t="s">
        <v>20</v>
      </c>
      <c r="F148" s="1" t="s">
        <v>29</v>
      </c>
      <c r="G148" s="1">
        <v>0.0</v>
      </c>
      <c r="H148" s="1">
        <v>0.0</v>
      </c>
      <c r="I148" s="2" t="str">
        <f>"https://datasport-ai.github.io/Milo_Formular/form-onboarding-dropout.html?email="&amp;ENCODEURL(A148)&amp;"&amp;step="&amp;F148</f>
        <v>https://datasport-ai.github.io/Milo_Formular/form-onboarding-dropout.html?email=nathalie.pittet69%40gmail.com&amp;step=RESULTS_PERMISSION</v>
      </c>
      <c r="J148" s="1" t="s">
        <v>22</v>
      </c>
    </row>
    <row r="149" hidden="1">
      <c r="A149" s="1" t="s">
        <v>428</v>
      </c>
      <c r="B149" s="1" t="s">
        <v>429</v>
      </c>
      <c r="C149" s="1" t="s">
        <v>430</v>
      </c>
      <c r="D149" s="4"/>
      <c r="E149" s="1" t="s">
        <v>13</v>
      </c>
      <c r="F149" s="1" t="s">
        <v>14</v>
      </c>
      <c r="G149" s="1">
        <v>0.0</v>
      </c>
      <c r="H149" s="1">
        <v>0.0</v>
      </c>
      <c r="I149" s="2" t="str">
        <f t="shared" ref="I149:I150" si="61">"https://datasport-ai.github.io/Milo_Formular/form-inactive.html?email="&amp;ENCODEURL(A149)</f>
        <v>https://datasport-ai.github.io/Milo_Formular/form-inactive.html?email=neva.grueninger%40gmx.ch</v>
      </c>
      <c r="J149" s="3" t="str">
        <f t="shared" ref="J149:J150" si="62">IFS(G149=0, "inactive")</f>
        <v>inactive</v>
      </c>
    </row>
    <row r="150" hidden="1">
      <c r="A150" s="1" t="s">
        <v>431</v>
      </c>
      <c r="B150" s="1" t="s">
        <v>432</v>
      </c>
      <c r="C150" s="1" t="s">
        <v>433</v>
      </c>
      <c r="D150" s="4">
        <v>46174.36405092593</v>
      </c>
      <c r="E150" s="1" t="s">
        <v>13</v>
      </c>
      <c r="F150" s="1" t="s">
        <v>14</v>
      </c>
      <c r="G150" s="1">
        <v>0.0</v>
      </c>
      <c r="H150" s="1">
        <v>0.0</v>
      </c>
      <c r="I150" s="2" t="str">
        <f t="shared" si="61"/>
        <v>https://datasport-ai.github.io/Milo_Formular/form-inactive.html?email=neyla.chlaib%40hotmail.com</v>
      </c>
      <c r="J150" s="3" t="str">
        <f t="shared" si="62"/>
        <v>inactive</v>
      </c>
    </row>
    <row r="151" hidden="1">
      <c r="A151" s="1" t="s">
        <v>434</v>
      </c>
      <c r="B151" s="1" t="s">
        <v>435</v>
      </c>
      <c r="C151" s="1" t="s">
        <v>436</v>
      </c>
      <c r="D151" s="4">
        <v>46159.853854166664</v>
      </c>
      <c r="E151" s="1" t="s">
        <v>13</v>
      </c>
      <c r="F151" s="1" t="s">
        <v>14</v>
      </c>
      <c r="G151" s="1">
        <v>3.0</v>
      </c>
      <c r="H151" s="1">
        <v>3.0</v>
      </c>
      <c r="I151" s="2" t="str">
        <f>"https://datasport-ai.github.io/Milo_Formular/form-active.html?email="&amp;ENCODEURL(A151)</f>
        <v>https://datasport-ai.github.io/Milo_Formular/form-active.html?email=nina.kotterer%40web.de</v>
      </c>
      <c r="J151" s="3" t="str">
        <f>IFS(H151/G151&gt;=0.5,"active",H151/G151&lt;0.5,"inactive")</f>
        <v>active</v>
      </c>
    </row>
    <row r="152" hidden="1">
      <c r="A152" s="1" t="s">
        <v>437</v>
      </c>
      <c r="B152" s="1" t="s">
        <v>438</v>
      </c>
      <c r="C152" s="1" t="s">
        <v>439</v>
      </c>
      <c r="D152" s="4">
        <v>46124.57777777778</v>
      </c>
      <c r="E152" s="1" t="s">
        <v>13</v>
      </c>
      <c r="F152" s="1" t="s">
        <v>14</v>
      </c>
      <c r="G152" s="1">
        <v>0.0</v>
      </c>
      <c r="H152" s="1">
        <v>0.0</v>
      </c>
      <c r="I152" s="2" t="str">
        <f>"https://datasport-ai.github.io/Milo_Formular/form-inactive.html?email="&amp;ENCODEURL(A152)</f>
        <v>https://datasport-ai.github.io/Milo_Formular/form-inactive.html?email=nniyati.prayaga%40icloud.com</v>
      </c>
      <c r="J152" s="3" t="str">
        <f>IFS(G152=0, "inactive")</f>
        <v>inactive</v>
      </c>
    </row>
    <row r="153" hidden="1">
      <c r="A153" s="1" t="s">
        <v>440</v>
      </c>
      <c r="B153" s="1" t="s">
        <v>109</v>
      </c>
      <c r="C153" s="1" t="s">
        <v>441</v>
      </c>
      <c r="D153" s="4">
        <v>46182.92364583333</v>
      </c>
      <c r="E153" s="1" t="s">
        <v>20</v>
      </c>
      <c r="F153" s="1" t="s">
        <v>204</v>
      </c>
      <c r="G153" s="1">
        <v>0.0</v>
      </c>
      <c r="H153" s="1">
        <v>0.0</v>
      </c>
      <c r="I153" s="2" t="str">
        <f t="shared" ref="I153:I156" si="63">"https://datasport-ai.github.io/Milo_Formular/form-onboarding-dropout.html?email="&amp;ENCODEURL(A153)&amp;"&amp;step="&amp;F153</f>
        <v>https://datasport-ai.github.io/Milo_Formular/form-onboarding-dropout.html?email=olivier.gimmi%40outlook.com&amp;step=ARE_YOU_READY_FOR_THE_NEXT_CHALLENGE</v>
      </c>
      <c r="J153" s="1" t="s">
        <v>22</v>
      </c>
    </row>
    <row r="154" hidden="1">
      <c r="A154" s="1" t="s">
        <v>442</v>
      </c>
      <c r="B154" s="1" t="s">
        <v>443</v>
      </c>
      <c r="C154" s="1" t="s">
        <v>444</v>
      </c>
      <c r="D154" s="4">
        <v>46187.28528935185</v>
      </c>
      <c r="E154" s="1" t="s">
        <v>20</v>
      </c>
      <c r="F154" s="1" t="s">
        <v>21</v>
      </c>
      <c r="G154" s="1">
        <v>0.0</v>
      </c>
      <c r="H154" s="1">
        <v>0.0</v>
      </c>
      <c r="I154" s="2" t="str">
        <f t="shared" si="63"/>
        <v>https://datasport-ai.github.io/Milo_Formular/form-onboarding-dropout.html?email=pao-giraldo%40hotmail.com&amp;step=WEARABLE_CONNECTION</v>
      </c>
      <c r="J154" s="1" t="s">
        <v>22</v>
      </c>
    </row>
    <row r="155" hidden="1">
      <c r="A155" s="1" t="s">
        <v>445</v>
      </c>
      <c r="B155" s="1" t="s">
        <v>446</v>
      </c>
      <c r="C155" s="1" t="s">
        <v>447</v>
      </c>
      <c r="D155" s="4">
        <v>46154.27471064815</v>
      </c>
      <c r="E155" s="1" t="s">
        <v>20</v>
      </c>
      <c r="F155" s="1" t="s">
        <v>29</v>
      </c>
      <c r="G155" s="1">
        <v>0.0</v>
      </c>
      <c r="H155" s="1">
        <v>0.0</v>
      </c>
      <c r="I155" s="2" t="str">
        <f t="shared" si="63"/>
        <v>https://datasport-ai.github.io/Milo_Formular/form-onboarding-dropout.html?email=patrick.milano%40wanadoo.fr&amp;step=RESULTS_PERMISSION</v>
      </c>
      <c r="J155" s="1" t="s">
        <v>22</v>
      </c>
    </row>
    <row r="156">
      <c r="A156" s="1" t="s">
        <v>448</v>
      </c>
      <c r="B156" s="1" t="s">
        <v>449</v>
      </c>
      <c r="C156" s="1" t="s">
        <v>450</v>
      </c>
      <c r="D156" s="4">
        <v>46184.64730324074</v>
      </c>
      <c r="E156" s="1" t="s">
        <v>20</v>
      </c>
      <c r="F156" s="1" t="s">
        <v>150</v>
      </c>
      <c r="G156" s="1">
        <v>0.0</v>
      </c>
      <c r="H156" s="1">
        <v>0.0</v>
      </c>
      <c r="I156" s="2" t="str">
        <f t="shared" si="63"/>
        <v>https://datasport-ai.github.io/Milo_Formular/form-onboarding-dropout.html?email=pauline.absil%40hotmail.com&amp;step=CONTACT_PREFERENCES</v>
      </c>
      <c r="J156" s="1" t="s">
        <v>22</v>
      </c>
    </row>
    <row r="157" hidden="1">
      <c r="A157" s="1" t="s">
        <v>451</v>
      </c>
      <c r="B157" s="1" t="s">
        <v>452</v>
      </c>
      <c r="C157" s="1" t="s">
        <v>453</v>
      </c>
      <c r="D157" s="4">
        <v>46182.45287037037</v>
      </c>
      <c r="E157" s="1" t="s">
        <v>13</v>
      </c>
      <c r="F157" s="1" t="s">
        <v>14</v>
      </c>
      <c r="G157" s="1">
        <v>0.0</v>
      </c>
      <c r="H157" s="1">
        <v>0.0</v>
      </c>
      <c r="I157" s="2" t="str">
        <f t="shared" ref="I157:I158" si="64">"https://datasport-ai.github.io/Milo_Formular/form-inactive.html?email="&amp;ENCODEURL(A157)</f>
        <v>https://datasport-ai.github.io/Milo_Formular/form-inactive.html?email=pbabey%40bluewin.ch</v>
      </c>
      <c r="J157" s="3" t="str">
        <f t="shared" ref="J157:J158" si="65">IFS(G157=0, "inactive")</f>
        <v>inactive</v>
      </c>
    </row>
    <row r="158" hidden="1">
      <c r="A158" s="1" t="s">
        <v>454</v>
      </c>
      <c r="B158" s="1" t="s">
        <v>455</v>
      </c>
      <c r="C158" s="1" t="s">
        <v>456</v>
      </c>
      <c r="E158" s="1" t="s">
        <v>13</v>
      </c>
      <c r="F158" s="1" t="s">
        <v>14</v>
      </c>
      <c r="G158" s="1">
        <v>0.0</v>
      </c>
      <c r="H158" s="1">
        <v>0.0</v>
      </c>
      <c r="I158" s="2" t="str">
        <f t="shared" si="64"/>
        <v>https://datasport-ai.github.io/Milo_Formular/form-inactive.html?email=pepe.daniele%40gmx.ch</v>
      </c>
      <c r="J158" s="3" t="str">
        <f t="shared" si="65"/>
        <v>inactive</v>
      </c>
    </row>
    <row r="159" hidden="1">
      <c r="A159" s="1" t="s">
        <v>457</v>
      </c>
      <c r="B159" s="1" t="s">
        <v>458</v>
      </c>
      <c r="C159" s="1" t="s">
        <v>459</v>
      </c>
      <c r="E159" s="1" t="s">
        <v>20</v>
      </c>
      <c r="F159" s="1" t="s">
        <v>39</v>
      </c>
      <c r="G159" s="1">
        <v>0.0</v>
      </c>
      <c r="H159" s="1">
        <v>0.0</v>
      </c>
      <c r="I159" s="2" t="str">
        <f>"https://datasport-ai.github.io/Milo_Formular/form-onboarding-dropout.html?email="&amp;ENCODEURL(A159)&amp;"&amp;step="&amp;F159</f>
        <v>https://datasport-ai.github.io/Milo_Formular/form-onboarding-dropout.html?email=peter.aeberhard%40gmail.com&amp;step=WEEKLY_SCHEDULE</v>
      </c>
      <c r="J159" s="1" t="s">
        <v>22</v>
      </c>
    </row>
    <row r="160" hidden="1">
      <c r="A160" s="1" t="s">
        <v>460</v>
      </c>
      <c r="B160" s="1" t="s">
        <v>458</v>
      </c>
      <c r="C160" s="1" t="s">
        <v>461</v>
      </c>
      <c r="D160" s="4">
        <v>46158.6405787037</v>
      </c>
      <c r="E160" s="1" t="s">
        <v>13</v>
      </c>
      <c r="F160" s="1" t="s">
        <v>14</v>
      </c>
      <c r="G160" s="1">
        <v>5.0</v>
      </c>
      <c r="H160" s="1">
        <v>4.0</v>
      </c>
      <c r="I160" s="2" t="str">
        <f>"https://datasport-ai.github.io/Milo_Formular/form-active.html?email="&amp;ENCODEURL(A160)</f>
        <v>https://datasport-ai.github.io/Milo_Formular/form-active.html?email=peter%40zahnarzt-ruf.de</v>
      </c>
      <c r="J160" s="3" t="str">
        <f>IFS(H160/G160&gt;=0.5,"active",H160/G160&lt;0.5,"inactive")</f>
        <v>active</v>
      </c>
    </row>
    <row r="161" hidden="1">
      <c r="A161" s="1" t="s">
        <v>462</v>
      </c>
      <c r="B161" s="1" t="s">
        <v>463</v>
      </c>
      <c r="C161" s="1" t="s">
        <v>464</v>
      </c>
      <c r="D161" s="4"/>
      <c r="E161" s="1" t="s">
        <v>13</v>
      </c>
      <c r="F161" s="1" t="s">
        <v>14</v>
      </c>
      <c r="G161" s="1">
        <v>0.0</v>
      </c>
      <c r="H161" s="1">
        <v>0.0</v>
      </c>
      <c r="I161" s="2" t="str">
        <f>"https://datasport-ai.github.io/Milo_Formular/form-inactive.html?email="&amp;ENCODEURL(A161)</f>
        <v>https://datasport-ai.github.io/Milo_Formular/form-inactive.html?email=philipp_inauen%40hotmail.com</v>
      </c>
      <c r="J161" s="3" t="str">
        <f>IFS(G161=0, "inactive")</f>
        <v>inactive</v>
      </c>
    </row>
    <row r="162" hidden="1">
      <c r="A162" s="1" t="s">
        <v>465</v>
      </c>
      <c r="B162" s="1" t="s">
        <v>466</v>
      </c>
      <c r="C162" s="1" t="s">
        <v>467</v>
      </c>
      <c r="D162" s="4">
        <v>46188.651400462964</v>
      </c>
      <c r="E162" s="1" t="s">
        <v>20</v>
      </c>
      <c r="F162" s="1" t="s">
        <v>29</v>
      </c>
      <c r="G162" s="1">
        <v>0.0</v>
      </c>
      <c r="H162" s="1">
        <v>0.0</v>
      </c>
      <c r="I162" s="2" t="str">
        <f>"https://datasport-ai.github.io/Milo_Formular/form-onboarding-dropout.html?email="&amp;ENCODEURL(A162)&amp;"&amp;step="&amp;F162</f>
        <v>https://datasport-ai.github.io/Milo_Formular/form-onboarding-dropout.html?email=qgigon%40icloud.com&amp;step=RESULTS_PERMISSION</v>
      </c>
      <c r="J162" s="1" t="s">
        <v>22</v>
      </c>
    </row>
    <row r="163" hidden="1">
      <c r="A163" s="1" t="s">
        <v>468</v>
      </c>
      <c r="B163" s="1" t="s">
        <v>469</v>
      </c>
      <c r="C163" s="1" t="s">
        <v>470</v>
      </c>
      <c r="D163" s="4"/>
      <c r="E163" s="1" t="s">
        <v>13</v>
      </c>
      <c r="F163" s="1" t="s">
        <v>14</v>
      </c>
      <c r="G163" s="1">
        <v>0.0</v>
      </c>
      <c r="H163" s="1">
        <v>0.0</v>
      </c>
      <c r="I163" s="2" t="str">
        <f t="shared" ref="I163:I166" si="66">"https://datasport-ai.github.io/Milo_Formular/form-inactive.html?email="&amp;ENCODEURL(A163)</f>
        <v>https://datasport-ai.github.io/Milo_Formular/form-inactive.html?email=r.schoenenberger90%40gmail.com</v>
      </c>
      <c r="J163" s="3" t="str">
        <f t="shared" ref="J163:J164" si="67">IFS(G163=0, "inactive")</f>
        <v>inactive</v>
      </c>
    </row>
    <row r="164" hidden="1">
      <c r="A164" s="1" t="s">
        <v>471</v>
      </c>
      <c r="B164" s="1" t="s">
        <v>472</v>
      </c>
      <c r="C164" s="1" t="s">
        <v>473</v>
      </c>
      <c r="D164" s="4"/>
      <c r="E164" s="1" t="s">
        <v>13</v>
      </c>
      <c r="F164" s="1" t="s">
        <v>14</v>
      </c>
      <c r="G164" s="1">
        <v>0.0</v>
      </c>
      <c r="H164" s="1">
        <v>0.0</v>
      </c>
      <c r="I164" s="2" t="str">
        <f t="shared" si="66"/>
        <v>https://datasport-ai.github.io/Milo_Formular/form-inactive.html?email=rahelnsteiner%40gmail.com</v>
      </c>
      <c r="J164" s="3" t="str">
        <f t="shared" si="67"/>
        <v>inactive</v>
      </c>
    </row>
    <row r="165" hidden="1">
      <c r="A165" s="1" t="s">
        <v>474</v>
      </c>
      <c r="B165" s="1" t="s">
        <v>475</v>
      </c>
      <c r="C165" s="1" t="s">
        <v>476</v>
      </c>
      <c r="D165" s="4">
        <v>46142.880428240744</v>
      </c>
      <c r="E165" s="1" t="s">
        <v>13</v>
      </c>
      <c r="F165" s="1" t="s">
        <v>14</v>
      </c>
      <c r="G165" s="1">
        <v>1.0</v>
      </c>
      <c r="H165" s="1">
        <v>0.0</v>
      </c>
      <c r="I165" s="2" t="str">
        <f t="shared" si="66"/>
        <v>https://datasport-ai.github.io/Milo_Formular/form-inactive.html?email=rebecca.taraborrelli%40gmail.com</v>
      </c>
      <c r="J165" s="3" t="str">
        <f t="shared" ref="J165:J166" si="68">IFS(H165/G165&gt;=0.5,"active",H165/G165&lt;0.5,"inactive")</f>
        <v>inactive</v>
      </c>
    </row>
    <row r="166" hidden="1">
      <c r="A166" s="1" t="s">
        <v>477</v>
      </c>
      <c r="B166" s="1" t="s">
        <v>478</v>
      </c>
      <c r="C166" s="1" t="s">
        <v>479</v>
      </c>
      <c r="D166" s="4">
        <v>46182.7218287037</v>
      </c>
      <c r="E166" s="1" t="s">
        <v>13</v>
      </c>
      <c r="F166" s="1" t="s">
        <v>14</v>
      </c>
      <c r="G166" s="1">
        <v>4.0</v>
      </c>
      <c r="H166" s="1">
        <v>1.0</v>
      </c>
      <c r="I166" s="2" t="str">
        <f t="shared" si="66"/>
        <v>https://datasport-ai.github.io/Milo_Formular/form-inactive.html?email=regisjaccoud%40gmail.com</v>
      </c>
      <c r="J166" s="3" t="str">
        <f t="shared" si="68"/>
        <v>inactive</v>
      </c>
    </row>
    <row r="167">
      <c r="A167" s="1" t="s">
        <v>480</v>
      </c>
      <c r="B167" s="1" t="s">
        <v>481</v>
      </c>
      <c r="C167" s="1" t="s">
        <v>482</v>
      </c>
      <c r="D167" s="4">
        <v>46189.33378472222</v>
      </c>
      <c r="E167" s="1" t="s">
        <v>20</v>
      </c>
      <c r="F167" s="1" t="s">
        <v>150</v>
      </c>
      <c r="G167" s="1">
        <v>0.0</v>
      </c>
      <c r="H167" s="1">
        <v>0.0</v>
      </c>
      <c r="I167" s="2" t="str">
        <f>"https://datasport-ai.github.io/Milo_Formular/form-onboarding-dropout.html?email="&amp;ENCODEURL(A167)&amp;"&amp;step="&amp;F167</f>
        <v>https://datasport-ai.github.io/Milo_Formular/form-onboarding-dropout.html?email=renato65%40bluewin.ch&amp;step=CONTACT_PREFERENCES</v>
      </c>
      <c r="J167" s="1" t="s">
        <v>22</v>
      </c>
    </row>
    <row r="168" hidden="1">
      <c r="A168" s="1" t="s">
        <v>483</v>
      </c>
      <c r="B168" s="1" t="s">
        <v>484</v>
      </c>
      <c r="C168" s="1" t="s">
        <v>485</v>
      </c>
      <c r="D168" s="4">
        <v>46119.871342592596</v>
      </c>
      <c r="E168" s="1" t="s">
        <v>13</v>
      </c>
      <c r="F168" s="1" t="s">
        <v>14</v>
      </c>
      <c r="G168" s="1">
        <v>1.0</v>
      </c>
      <c r="H168" s="1">
        <v>1.0</v>
      </c>
      <c r="I168" s="2" t="str">
        <f>"https://datasport-ai.github.io/Milo_Formular/form-active.html?email="&amp;ENCODEURL(A168)</f>
        <v>https://datasport-ai.github.io/Milo_Formular/form-active.html?email=reto.zollinger23%40gmail.com</v>
      </c>
      <c r="J168" s="3" t="str">
        <f>IFS(H168/G168&gt;=0.5,"active",H168/G168&lt;0.5,"inactive")</f>
        <v>active</v>
      </c>
    </row>
    <row r="169" hidden="1">
      <c r="A169" s="1" t="s">
        <v>486</v>
      </c>
      <c r="B169" s="1" t="s">
        <v>487</v>
      </c>
      <c r="C169" s="1" t="s">
        <v>488</v>
      </c>
      <c r="D169" s="4">
        <v>46168.423634259256</v>
      </c>
      <c r="E169" s="1" t="s">
        <v>13</v>
      </c>
      <c r="F169" s="1" t="s">
        <v>14</v>
      </c>
      <c r="G169" s="1">
        <v>0.0</v>
      </c>
      <c r="H169" s="1">
        <v>0.0</v>
      </c>
      <c r="I169" s="2" t="str">
        <f>"https://datasport-ai.github.io/Milo_Formular/form-inactive.html?email="&amp;ENCODEURL(A169)</f>
        <v>https://datasport-ai.github.io/Milo_Formular/form-inactive.html?email=richard.deletroz%40crr-suva.ch</v>
      </c>
      <c r="J169" s="3" t="str">
        <f>IFS(G169=0, "inactive")</f>
        <v>inactive</v>
      </c>
    </row>
    <row r="170" hidden="1">
      <c r="A170" s="1" t="s">
        <v>489</v>
      </c>
      <c r="B170" s="1" t="s">
        <v>490</v>
      </c>
      <c r="C170" s="1" t="s">
        <v>491</v>
      </c>
      <c r="D170" s="4">
        <v>46161.60530092593</v>
      </c>
      <c r="E170" s="1" t="s">
        <v>13</v>
      </c>
      <c r="F170" s="1" t="s">
        <v>14</v>
      </c>
      <c r="G170" s="1">
        <v>6.0</v>
      </c>
      <c r="H170" s="1">
        <v>5.0</v>
      </c>
      <c r="I170" s="2" t="str">
        <f t="shared" ref="I170:I171" si="69">"https://datasport-ai.github.io/Milo_Formular/form-active.html?email="&amp;ENCODEURL(A170)</f>
        <v>https://datasport-ai.github.io/Milo_Formular/form-active.html?email=riederdeborah%40gmail.com</v>
      </c>
      <c r="J170" s="3" t="str">
        <f t="shared" ref="J170:J171" si="70">IFS(H170/G170&gt;=0.5,"active",H170/G170&lt;0.5,"inactive")</f>
        <v>active</v>
      </c>
    </row>
    <row r="171" hidden="1">
      <c r="A171" s="1" t="s">
        <v>492</v>
      </c>
      <c r="B171" s="1" t="s">
        <v>493</v>
      </c>
      <c r="C171" s="1" t="s">
        <v>494</v>
      </c>
      <c r="D171" s="4">
        <v>46174.34340277778</v>
      </c>
      <c r="E171" s="1" t="s">
        <v>13</v>
      </c>
      <c r="F171" s="1" t="s">
        <v>14</v>
      </c>
      <c r="G171" s="1">
        <v>1.0</v>
      </c>
      <c r="H171" s="1">
        <v>1.0</v>
      </c>
      <c r="I171" s="2" t="str">
        <f t="shared" si="69"/>
        <v>https://datasport-ai.github.io/Milo_Formular/form-active.html?email=robbydjaz%40bluewin.ch</v>
      </c>
      <c r="J171" s="3" t="str">
        <f t="shared" si="70"/>
        <v>active</v>
      </c>
    </row>
    <row r="172" hidden="1">
      <c r="A172" s="1" t="s">
        <v>495</v>
      </c>
      <c r="B172" s="1" t="s">
        <v>496</v>
      </c>
      <c r="C172" s="1" t="s">
        <v>497</v>
      </c>
      <c r="D172" s="4">
        <v>46182.70175925926</v>
      </c>
      <c r="E172" s="1" t="s">
        <v>13</v>
      </c>
      <c r="F172" s="1" t="s">
        <v>14</v>
      </c>
      <c r="G172" s="1">
        <v>0.0</v>
      </c>
      <c r="H172" s="1">
        <v>0.0</v>
      </c>
      <c r="I172" s="2" t="str">
        <f t="shared" ref="I172:I176" si="71">"https://datasport-ai.github.io/Milo_Formular/form-inactive.html?email="&amp;ENCODEURL(A172)</f>
        <v>https://datasport-ai.github.io/Milo_Formular/form-inactive.html?email=roby.ranza%40gmail.com</v>
      </c>
      <c r="J172" s="3" t="str">
        <f t="shared" ref="J172:J174" si="72">IFS(G172=0, "inactive")</f>
        <v>inactive</v>
      </c>
    </row>
    <row r="173" hidden="1">
      <c r="A173" s="1" t="s">
        <v>498</v>
      </c>
      <c r="B173" s="1" t="s">
        <v>499</v>
      </c>
      <c r="C173" s="1" t="s">
        <v>500</v>
      </c>
      <c r="E173" s="1" t="s">
        <v>13</v>
      </c>
      <c r="F173" s="1" t="s">
        <v>14</v>
      </c>
      <c r="G173" s="1">
        <v>0.0</v>
      </c>
      <c r="H173" s="1">
        <v>0.0</v>
      </c>
      <c r="I173" s="2" t="str">
        <f t="shared" si="71"/>
        <v>https://datasport-ai.github.io/Milo_Formular/form-inactive.html?email=roman-schwarz%40hotmail.com</v>
      </c>
      <c r="J173" s="3" t="str">
        <f t="shared" si="72"/>
        <v>inactive</v>
      </c>
    </row>
    <row r="174" hidden="1">
      <c r="A174" s="1" t="s">
        <v>501</v>
      </c>
      <c r="B174" s="1" t="s">
        <v>502</v>
      </c>
      <c r="C174" s="1" t="s">
        <v>503</v>
      </c>
      <c r="D174" s="4">
        <v>46181.77130787037</v>
      </c>
      <c r="E174" s="1" t="s">
        <v>13</v>
      </c>
      <c r="F174" s="1" t="s">
        <v>14</v>
      </c>
      <c r="G174" s="1">
        <v>0.0</v>
      </c>
      <c r="H174" s="1">
        <v>0.0</v>
      </c>
      <c r="I174" s="2" t="str">
        <f t="shared" si="71"/>
        <v>https://datasport-ai.github.io/Milo_Formular/form-inactive.html?email=rushanjolla189%40gmail.com</v>
      </c>
      <c r="J174" s="3" t="str">
        <f t="shared" si="72"/>
        <v>inactive</v>
      </c>
    </row>
    <row r="175" hidden="1">
      <c r="A175" s="1" t="s">
        <v>504</v>
      </c>
      <c r="B175" s="1" t="s">
        <v>505</v>
      </c>
      <c r="C175" s="1" t="s">
        <v>506</v>
      </c>
      <c r="D175" s="4">
        <v>46185.52737268519</v>
      </c>
      <c r="E175" s="1" t="s">
        <v>13</v>
      </c>
      <c r="F175" s="1" t="s">
        <v>14</v>
      </c>
      <c r="G175" s="1">
        <v>7.0</v>
      </c>
      <c r="H175" s="1">
        <v>0.0</v>
      </c>
      <c r="I175" s="2" t="str">
        <f t="shared" si="71"/>
        <v>https://datasport-ai.github.io/Milo_Formular/form-inactive.html?email=Ruthroquegil%40gmail.com</v>
      </c>
      <c r="J175" s="3" t="str">
        <f>IFS(H175/G175&gt;=0.5,"active",H175/G175&lt;0.5,"inactive")</f>
        <v>inactive</v>
      </c>
    </row>
    <row r="176" hidden="1">
      <c r="A176" s="1" t="s">
        <v>507</v>
      </c>
      <c r="B176" s="1" t="s">
        <v>508</v>
      </c>
      <c r="C176" s="1" t="s">
        <v>509</v>
      </c>
      <c r="D176" s="4">
        <v>46189.92481481482</v>
      </c>
      <c r="E176" s="1" t="s">
        <v>13</v>
      </c>
      <c r="F176" s="1" t="s">
        <v>14</v>
      </c>
      <c r="G176" s="1">
        <v>0.0</v>
      </c>
      <c r="H176" s="1">
        <v>0.0</v>
      </c>
      <c r="I176" s="2" t="str">
        <f t="shared" si="71"/>
        <v>https://datasport-ai.github.io/Milo_Formular/form-inactive.html?email=s.gantenbein%40gmx.net</v>
      </c>
      <c r="J176" s="3" t="str">
        <f>IFS(G176=0, "inactive")</f>
        <v>inactive</v>
      </c>
    </row>
    <row r="177" hidden="1">
      <c r="A177" s="1" t="s">
        <v>510</v>
      </c>
      <c r="B177" s="1" t="s">
        <v>511</v>
      </c>
      <c r="C177" s="1" t="s">
        <v>512</v>
      </c>
      <c r="D177" s="4">
        <v>46187.80946759259</v>
      </c>
      <c r="E177" s="1" t="s">
        <v>13</v>
      </c>
      <c r="F177" s="1" t="s">
        <v>14</v>
      </c>
      <c r="G177" s="1">
        <v>2.0</v>
      </c>
      <c r="H177" s="1">
        <v>1.0</v>
      </c>
      <c r="I177" s="2" t="str">
        <f>"https://datasport-ai.github.io/Milo_Formular/form-active.html?email="&amp;ENCODEURL(A177)</f>
        <v>https://datasport-ai.github.io/Milo_Formular/form-active.html?email=S.tache%40netplus.ch</v>
      </c>
      <c r="J177" s="3" t="str">
        <f>IFS(H177/G177&gt;=0.5,"active",H177/G177&lt;0.5,"inactive")</f>
        <v>active</v>
      </c>
    </row>
    <row r="178" hidden="1">
      <c r="A178" s="1" t="s">
        <v>513</v>
      </c>
      <c r="B178" s="1" t="s">
        <v>514</v>
      </c>
      <c r="C178" s="1" t="s">
        <v>515</v>
      </c>
      <c r="D178" s="4"/>
      <c r="E178" s="1" t="s">
        <v>13</v>
      </c>
      <c r="F178" s="1" t="s">
        <v>14</v>
      </c>
      <c r="G178" s="1">
        <v>0.0</v>
      </c>
      <c r="H178" s="1">
        <v>0.0</v>
      </c>
      <c r="I178" s="2" t="str">
        <f t="shared" ref="I178:I180" si="73">"https://datasport-ai.github.io/Milo_Formular/form-inactive.html?email="&amp;ENCODEURL(A178)</f>
        <v>https://datasport-ai.github.io/Milo_Formular/form-inactive.html?email=samuel.reber%40bluewin.ch</v>
      </c>
      <c r="J178" s="3" t="str">
        <f t="shared" ref="J178:J180" si="74">IFS(G178=0, "inactive")</f>
        <v>inactive</v>
      </c>
    </row>
    <row r="179" hidden="1">
      <c r="A179" s="1" t="s">
        <v>516</v>
      </c>
      <c r="B179" s="1" t="s">
        <v>508</v>
      </c>
      <c r="C179" s="1" t="s">
        <v>517</v>
      </c>
      <c r="E179" s="1" t="s">
        <v>13</v>
      </c>
      <c r="F179" s="1" t="s">
        <v>14</v>
      </c>
      <c r="G179" s="1">
        <v>0.0</v>
      </c>
      <c r="H179" s="1">
        <v>0.0</v>
      </c>
      <c r="I179" s="2" t="str">
        <f t="shared" si="73"/>
        <v>https://datasport-ai.github.io/Milo_Formular/form-inactive.html?email=sandra.gomringer%40bluewin.ch</v>
      </c>
      <c r="J179" s="3" t="str">
        <f t="shared" si="74"/>
        <v>inactive</v>
      </c>
    </row>
    <row r="180" hidden="1">
      <c r="A180" s="1" t="s">
        <v>518</v>
      </c>
      <c r="B180" s="1" t="s">
        <v>519</v>
      </c>
      <c r="C180" s="1" t="s">
        <v>520</v>
      </c>
      <c r="D180" s="4"/>
      <c r="E180" s="1" t="s">
        <v>13</v>
      </c>
      <c r="F180" s="1" t="s">
        <v>14</v>
      </c>
      <c r="G180" s="1">
        <v>0.0</v>
      </c>
      <c r="H180" s="1">
        <v>0.0</v>
      </c>
      <c r="I180" s="2" t="str">
        <f t="shared" si="73"/>
        <v>https://datasport-ai.github.io/Milo_Formular/form-inactive.html?email=sandro.cappello%40bluewin.ch</v>
      </c>
      <c r="J180" s="3" t="str">
        <f t="shared" si="74"/>
        <v>inactive</v>
      </c>
    </row>
    <row r="181" hidden="1">
      <c r="A181" s="1" t="s">
        <v>521</v>
      </c>
      <c r="B181" s="1" t="s">
        <v>519</v>
      </c>
      <c r="C181" s="1" t="s">
        <v>522</v>
      </c>
      <c r="D181" s="4"/>
      <c r="E181" s="1" t="s">
        <v>13</v>
      </c>
      <c r="F181" s="1" t="s">
        <v>14</v>
      </c>
      <c r="G181" s="1">
        <v>6.0</v>
      </c>
      <c r="H181" s="1">
        <v>5.0</v>
      </c>
      <c r="I181" s="2" t="str">
        <f>"https://datasport-ai.github.io/Milo_Formular/form-active.html?email="&amp;ENCODEURL(A181)</f>
        <v>https://datasport-ai.github.io/Milo_Formular/form-active.html?email=sandrowegmann%40hotmail.com</v>
      </c>
      <c r="J181" s="3" t="str">
        <f>IFS(H181/G181&gt;=0.5,"active",H181/G181&lt;0.5,"inactive")</f>
        <v>active</v>
      </c>
    </row>
    <row r="182" hidden="1">
      <c r="A182" s="1" t="s">
        <v>523</v>
      </c>
      <c r="B182" s="1" t="s">
        <v>524</v>
      </c>
      <c r="C182" s="1" t="s">
        <v>525</v>
      </c>
      <c r="D182" s="4">
        <v>46145.26828703703</v>
      </c>
      <c r="E182" s="1" t="s">
        <v>13</v>
      </c>
      <c r="F182" s="1" t="s">
        <v>14</v>
      </c>
      <c r="G182" s="1">
        <v>0.0</v>
      </c>
      <c r="H182" s="1">
        <v>0.0</v>
      </c>
      <c r="I182" s="2" t="str">
        <f t="shared" ref="I182:I183" si="75">"https://datasport-ai.github.io/Milo_Formular/form-inactive.html?email="&amp;ENCODEURL(A182)</f>
        <v>https://datasport-ai.github.io/Milo_Formular/form-inactive.html?email=schneehas82%40gmail.com</v>
      </c>
      <c r="J182" s="3" t="str">
        <f t="shared" ref="J182:J183" si="76">IFS(G182=0, "inactive")</f>
        <v>inactive</v>
      </c>
    </row>
    <row r="183" hidden="1">
      <c r="A183" s="1" t="s">
        <v>526</v>
      </c>
      <c r="B183" s="1" t="s">
        <v>527</v>
      </c>
      <c r="C183" s="1" t="s">
        <v>528</v>
      </c>
      <c r="D183" s="4">
        <v>46172.642488425925</v>
      </c>
      <c r="E183" s="1" t="s">
        <v>13</v>
      </c>
      <c r="F183" s="1" t="s">
        <v>14</v>
      </c>
      <c r="G183" s="1">
        <v>0.0</v>
      </c>
      <c r="H183" s="1">
        <v>0.0</v>
      </c>
      <c r="I183" s="2" t="str">
        <f t="shared" si="75"/>
        <v>https://datasport-ai.github.io/Milo_Formular/form-inactive.html?email=schuedit%40gmx.ch</v>
      </c>
      <c r="J183" s="3" t="str">
        <f t="shared" si="76"/>
        <v>inactive</v>
      </c>
    </row>
    <row r="184">
      <c r="A184" s="1" t="s">
        <v>529</v>
      </c>
      <c r="B184" s="1" t="s">
        <v>530</v>
      </c>
      <c r="C184" s="1" t="s">
        <v>531</v>
      </c>
      <c r="D184" s="4"/>
      <c r="E184" s="1" t="s">
        <v>20</v>
      </c>
      <c r="F184" s="1" t="s">
        <v>150</v>
      </c>
      <c r="G184" s="1">
        <v>0.0</v>
      </c>
      <c r="H184" s="1">
        <v>0.0</v>
      </c>
      <c r="I184" s="2" t="str">
        <f>"https://datasport-ai.github.io/Milo_Formular/form-onboarding-dropout.html?email="&amp;ENCODEURL(A184)&amp;"&amp;step="&amp;F184</f>
        <v>https://datasport-ai.github.io/Milo_Formular/form-onboarding-dropout.html?email=sebastian.wolniak%40gmail.com&amp;step=CONTACT_PREFERENCES</v>
      </c>
      <c r="J184" s="1" t="s">
        <v>22</v>
      </c>
    </row>
    <row r="185" hidden="1">
      <c r="A185" s="1" t="s">
        <v>532</v>
      </c>
      <c r="B185" s="1" t="s">
        <v>530</v>
      </c>
      <c r="C185" s="1" t="s">
        <v>402</v>
      </c>
      <c r="D185" s="4">
        <v>46126.37892361111</v>
      </c>
      <c r="E185" s="1" t="s">
        <v>13</v>
      </c>
      <c r="F185" s="1" t="s">
        <v>14</v>
      </c>
      <c r="G185" s="1">
        <v>2.0</v>
      </c>
      <c r="H185" s="1">
        <v>0.0</v>
      </c>
      <c r="I185" s="2" t="str">
        <f>"https://datasport-ai.github.io/Milo_Formular/form-inactive.html?email="&amp;ENCODEURL(A185)</f>
        <v>https://datasport-ai.github.io/Milo_Formular/form-inactive.html?email=sebastian96mueller%40gmail.com</v>
      </c>
      <c r="J185" s="3" t="str">
        <f>IFS(H185/G185&gt;=0.5,"active",H185/G185&lt;0.5,"inactive")</f>
        <v>inactive</v>
      </c>
    </row>
    <row r="186" hidden="1">
      <c r="A186" s="1" t="s">
        <v>533</v>
      </c>
      <c r="B186" s="1" t="s">
        <v>534</v>
      </c>
      <c r="C186" s="1" t="s">
        <v>535</v>
      </c>
      <c r="D186" s="4">
        <v>46195.19452546296</v>
      </c>
      <c r="E186" s="1" t="s">
        <v>13</v>
      </c>
      <c r="F186" s="1" t="s">
        <v>14</v>
      </c>
      <c r="G186" s="1">
        <v>0.0</v>
      </c>
      <c r="H186" s="1">
        <v>0.0</v>
      </c>
      <c r="I186" s="2" t="str">
        <f>"https://datasport-ai.github.io/Milo_Formular/form-active.html?email="&amp;ENCODEURL(A186)</f>
        <v>https://datasport-ai.github.io/Milo_Formular/form-active.html?email=sebihug%40hotmail.com</v>
      </c>
      <c r="J186" s="1" t="s">
        <v>536</v>
      </c>
    </row>
    <row r="187" hidden="1">
      <c r="A187" s="1" t="s">
        <v>537</v>
      </c>
      <c r="B187" s="1" t="s">
        <v>538</v>
      </c>
      <c r="C187" s="1" t="s">
        <v>539</v>
      </c>
      <c r="D187" s="4">
        <v>46174.54993055556</v>
      </c>
      <c r="E187" s="1" t="s">
        <v>13</v>
      </c>
      <c r="F187" s="1" t="s">
        <v>14</v>
      </c>
      <c r="G187" s="1">
        <v>1.0</v>
      </c>
      <c r="H187" s="1">
        <v>0.0</v>
      </c>
      <c r="I187" s="2" t="str">
        <f t="shared" ref="I187:I192" si="77">"https://datasport-ai.github.io/Milo_Formular/form-inactive.html?email="&amp;ENCODEURL(A187)</f>
        <v>https://datasport-ai.github.io/Milo_Formular/form-inactive.html?email=seiler.vanessa%40outlook.com</v>
      </c>
      <c r="J187" s="3" t="str">
        <f>IFS(H187/G187&gt;=0.5,"active",H187/G187&lt;0.5,"inactive")</f>
        <v>inactive</v>
      </c>
    </row>
    <row r="188" hidden="1">
      <c r="A188" s="1" t="s">
        <v>540</v>
      </c>
      <c r="B188" s="1" t="s">
        <v>541</v>
      </c>
      <c r="C188" s="1" t="s">
        <v>542</v>
      </c>
      <c r="D188" s="4"/>
      <c r="E188" s="1" t="s">
        <v>13</v>
      </c>
      <c r="F188" s="1" t="s">
        <v>14</v>
      </c>
      <c r="G188" s="1">
        <v>0.0</v>
      </c>
      <c r="H188" s="1">
        <v>0.0</v>
      </c>
      <c r="I188" s="2" t="str">
        <f t="shared" si="77"/>
        <v>https://datasport-ai.github.io/Milo_Formular/form-inactive.html?email=severin.loetscher%40bluewin.ch</v>
      </c>
      <c r="J188" s="3" t="str">
        <f t="shared" ref="J188:J190" si="78">IFS(G188=0, "inactive")</f>
        <v>inactive</v>
      </c>
    </row>
    <row r="189" hidden="1">
      <c r="A189" s="1" t="s">
        <v>543</v>
      </c>
      <c r="B189" s="1" t="s">
        <v>544</v>
      </c>
      <c r="C189" s="1" t="s">
        <v>545</v>
      </c>
      <c r="D189" s="4">
        <v>46125.21532407407</v>
      </c>
      <c r="E189" s="1" t="s">
        <v>13</v>
      </c>
      <c r="F189" s="1" t="s">
        <v>14</v>
      </c>
      <c r="G189" s="1">
        <v>0.0</v>
      </c>
      <c r="H189" s="1">
        <v>0.0</v>
      </c>
      <c r="I189" s="2" t="str">
        <f t="shared" si="77"/>
        <v>https://datasport-ai.github.io/Milo_Formular/form-inactive.html?email=sfankhauser%40datasport.com</v>
      </c>
      <c r="J189" s="3" t="str">
        <f t="shared" si="78"/>
        <v>inactive</v>
      </c>
    </row>
    <row r="190" hidden="1">
      <c r="A190" s="1" t="s">
        <v>546</v>
      </c>
      <c r="B190" s="1" t="s">
        <v>547</v>
      </c>
      <c r="C190" s="1" t="s">
        <v>548</v>
      </c>
      <c r="D190" s="4">
        <v>46193.512766203705</v>
      </c>
      <c r="E190" s="1" t="s">
        <v>13</v>
      </c>
      <c r="F190" s="1" t="s">
        <v>14</v>
      </c>
      <c r="G190" s="1">
        <v>0.0</v>
      </c>
      <c r="H190" s="1">
        <v>0.0</v>
      </c>
      <c r="I190" s="2" t="str">
        <f t="shared" si="77"/>
        <v>https://datasport-ai.github.io/Milo_Formular/form-inactive.html?email=shqipi113%40gmail.com</v>
      </c>
      <c r="J190" s="3" t="str">
        <f t="shared" si="78"/>
        <v>inactive</v>
      </c>
    </row>
    <row r="191" hidden="1">
      <c r="A191" s="1" t="s">
        <v>549</v>
      </c>
      <c r="B191" s="1" t="s">
        <v>550</v>
      </c>
      <c r="C191" s="1" t="s">
        <v>551</v>
      </c>
      <c r="D191" s="4">
        <v>46161.7846875</v>
      </c>
      <c r="E191" s="1" t="s">
        <v>13</v>
      </c>
      <c r="F191" s="1" t="s">
        <v>14</v>
      </c>
      <c r="G191" s="1">
        <v>3.0</v>
      </c>
      <c r="H191" s="1">
        <v>0.0</v>
      </c>
      <c r="I191" s="2" t="str">
        <f t="shared" si="77"/>
        <v>https://datasport-ai.github.io/Milo_Formular/form-inactive.html?email=sigmard%40msn.com</v>
      </c>
      <c r="J191" s="3" t="str">
        <f>IFS(H191/G191&gt;=0.5,"active",H191/G191&lt;0.5,"inactive")</f>
        <v>inactive</v>
      </c>
    </row>
    <row r="192" hidden="1">
      <c r="A192" s="1" t="s">
        <v>552</v>
      </c>
      <c r="B192" s="1" t="s">
        <v>553</v>
      </c>
      <c r="C192" s="1" t="s">
        <v>554</v>
      </c>
      <c r="D192" s="4">
        <v>46159.29282407407</v>
      </c>
      <c r="E192" s="1" t="s">
        <v>13</v>
      </c>
      <c r="F192" s="1" t="s">
        <v>14</v>
      </c>
      <c r="G192" s="1">
        <v>0.0</v>
      </c>
      <c r="H192" s="1">
        <v>0.0</v>
      </c>
      <c r="I192" s="2" t="str">
        <f t="shared" si="77"/>
        <v>https://datasport-ai.github.io/Milo_Formular/form-inactive.html?email=simiboesch%40bluewin.ch</v>
      </c>
      <c r="J192" s="3" t="str">
        <f>IFS(G192=0, "inactive")</f>
        <v>inactive</v>
      </c>
    </row>
    <row r="193" hidden="1">
      <c r="A193" s="1" t="s">
        <v>555</v>
      </c>
      <c r="B193" s="1" t="s">
        <v>511</v>
      </c>
      <c r="C193" s="1" t="s">
        <v>556</v>
      </c>
      <c r="D193" s="4">
        <v>46185.56414351852</v>
      </c>
      <c r="E193" s="1" t="s">
        <v>13</v>
      </c>
      <c r="F193" s="1" t="s">
        <v>14</v>
      </c>
      <c r="G193" s="1">
        <v>2.0</v>
      </c>
      <c r="H193" s="1">
        <v>2.0</v>
      </c>
      <c r="I193" s="2" t="str">
        <f>"https://datasport-ai.github.io/Milo_Formular/form-active.html?email="&amp;ENCODEURL(A193)</f>
        <v>https://datasport-ai.github.io/Milo_Formular/form-active.html?email=simon-probst%40bluewin.ch</v>
      </c>
      <c r="J193" s="3" t="str">
        <f>IFS(H193/G193&gt;=0.5,"active",H193/G193&lt;0.5,"inactive")</f>
        <v>active</v>
      </c>
    </row>
    <row r="194" hidden="1">
      <c r="A194" s="1" t="s">
        <v>557</v>
      </c>
      <c r="B194" s="1" t="s">
        <v>558</v>
      </c>
      <c r="C194" s="1" t="s">
        <v>559</v>
      </c>
      <c r="E194" s="1" t="s">
        <v>20</v>
      </c>
      <c r="F194" s="1" t="s">
        <v>560</v>
      </c>
      <c r="G194" s="1">
        <v>0.0</v>
      </c>
      <c r="H194" s="1">
        <v>0.0</v>
      </c>
      <c r="I194" s="2" t="str">
        <f>"https://datasport-ai.github.io/Milo_Formular/form-onboarding-dropout.html?email="&amp;ENCODEURL(A194)&amp;"&amp;step="&amp;F194</f>
        <v>https://datasport-ai.github.io/Milo_Formular/form-onboarding-dropout.html?email=smerillat%40gmail.com&amp;step=TRAINING_FREQUENCY</v>
      </c>
      <c r="J194" s="1" t="s">
        <v>22</v>
      </c>
    </row>
    <row r="195" hidden="1">
      <c r="A195" s="1" t="s">
        <v>561</v>
      </c>
      <c r="B195" s="1" t="s">
        <v>562</v>
      </c>
      <c r="C195" s="1" t="s">
        <v>563</v>
      </c>
      <c r="D195" s="4">
        <v>46190.85878472222</v>
      </c>
      <c r="E195" s="1" t="s">
        <v>13</v>
      </c>
      <c r="F195" s="1" t="s">
        <v>14</v>
      </c>
      <c r="G195" s="1">
        <v>1.0</v>
      </c>
      <c r="H195" s="1">
        <v>0.0</v>
      </c>
      <c r="I195" s="2" t="str">
        <f>"https://datasport-ai.github.io/Milo_Formular/form-inactive.html?email="&amp;ENCODEURL(A195)</f>
        <v>https://datasport-ai.github.io/Milo_Formular/form-inactive.html?email=soniaklaye%40gmail.com</v>
      </c>
      <c r="J195" s="3" t="str">
        <f t="shared" ref="J195:J196" si="79">IFS(H195/G195&gt;=0.5,"active",H195/G195&lt;0.5,"inactive")</f>
        <v>inactive</v>
      </c>
    </row>
    <row r="196" hidden="1">
      <c r="A196" s="1" t="s">
        <v>564</v>
      </c>
      <c r="B196" s="1" t="s">
        <v>565</v>
      </c>
      <c r="C196" s="1" t="s">
        <v>566</v>
      </c>
      <c r="D196" s="4">
        <v>46187.75020833333</v>
      </c>
      <c r="E196" s="1" t="s">
        <v>13</v>
      </c>
      <c r="F196" s="1" t="s">
        <v>14</v>
      </c>
      <c r="G196" s="1">
        <v>2.0</v>
      </c>
      <c r="H196" s="1">
        <v>1.0</v>
      </c>
      <c r="I196" s="2" t="str">
        <f>"https://datasport-ai.github.io/Milo_Formular/form-active.html?email="&amp;ENCODEURL(A196)</f>
        <v>https://datasport-ai.github.io/Milo_Formular/form-active.html?email=sraidler%40gmx.net</v>
      </c>
      <c r="J196" s="3" t="str">
        <f t="shared" si="79"/>
        <v>active</v>
      </c>
    </row>
    <row r="197" hidden="1">
      <c r="A197" s="1" t="s">
        <v>567</v>
      </c>
      <c r="B197" s="1" t="s">
        <v>568</v>
      </c>
      <c r="C197" s="1" t="s">
        <v>569</v>
      </c>
      <c r="D197" s="4">
        <v>46190.25699074074</v>
      </c>
      <c r="E197" s="1" t="s">
        <v>13</v>
      </c>
      <c r="F197" s="1" t="s">
        <v>14</v>
      </c>
      <c r="G197" s="1">
        <v>0.0</v>
      </c>
      <c r="H197" s="1">
        <v>0.0</v>
      </c>
      <c r="I197" s="2" t="str">
        <f t="shared" ref="I197:I199" si="80">"https://datasport-ai.github.io/Milo_Formular/form-inactive.html?email="&amp;ENCODEURL(A197)</f>
        <v>https://datasport-ai.github.io/Milo_Formular/form-inactive.html?email=sylvie_bischof%40yahoo.fr</v>
      </c>
      <c r="J197" s="3" t="str">
        <f t="shared" ref="J197:J199" si="81">IFS(G197=0, "inactive")</f>
        <v>inactive</v>
      </c>
    </row>
    <row r="198" hidden="1">
      <c r="A198" s="1" t="s">
        <v>570</v>
      </c>
      <c r="B198" s="1" t="s">
        <v>369</v>
      </c>
      <c r="C198" s="1" t="s">
        <v>311</v>
      </c>
      <c r="D198" s="4"/>
      <c r="E198" s="1" t="s">
        <v>13</v>
      </c>
      <c r="F198" s="1" t="s">
        <v>14</v>
      </c>
      <c r="G198" s="1">
        <v>0.0</v>
      </c>
      <c r="H198" s="1">
        <v>0.0</v>
      </c>
      <c r="I198" s="2" t="str">
        <f t="shared" si="80"/>
        <v>https://datasport-ai.github.io/Milo_Formular/form-inactive.html?email=tbachofner%40datasport.com</v>
      </c>
      <c r="J198" s="3" t="str">
        <f t="shared" si="81"/>
        <v>inactive</v>
      </c>
    </row>
    <row r="199" hidden="1">
      <c r="A199" s="1" t="s">
        <v>571</v>
      </c>
      <c r="B199" s="1" t="s">
        <v>369</v>
      </c>
      <c r="C199" s="1" t="s">
        <v>572</v>
      </c>
      <c r="D199" s="4"/>
      <c r="E199" s="1" t="s">
        <v>13</v>
      </c>
      <c r="F199" s="1" t="s">
        <v>14</v>
      </c>
      <c r="G199" s="1">
        <v>0.0</v>
      </c>
      <c r="H199" s="1">
        <v>0.0</v>
      </c>
      <c r="I199" s="2" t="str">
        <f t="shared" si="80"/>
        <v>https://datasport-ai.github.io/Milo_Formular/form-inactive.html?email=thomas.duersteler%40gmx.ch</v>
      </c>
      <c r="J199" s="3" t="str">
        <f t="shared" si="81"/>
        <v>inactive</v>
      </c>
    </row>
    <row r="200" hidden="1">
      <c r="A200" s="1" t="s">
        <v>573</v>
      </c>
      <c r="B200" s="1" t="s">
        <v>574</v>
      </c>
      <c r="C200" s="1" t="s">
        <v>575</v>
      </c>
      <c r="D200" s="4">
        <v>46162.45856481481</v>
      </c>
      <c r="E200" s="1" t="s">
        <v>20</v>
      </c>
      <c r="F200" s="1" t="s">
        <v>21</v>
      </c>
      <c r="G200" s="1">
        <v>0.0</v>
      </c>
      <c r="H200" s="1">
        <v>0.0</v>
      </c>
      <c r="I200" s="2" t="str">
        <f>"https://datasport-ai.github.io/Milo_Formular/form-onboarding-dropout.html?email="&amp;ENCODEURL(A200)&amp;"&amp;step="&amp;F200</f>
        <v>https://datasport-ai.github.io/Milo_Formular/form-onboarding-dropout.html?email=thomas.jourdan123%40gmail.com&amp;step=WEARABLE_CONNECTION</v>
      </c>
      <c r="J200" s="1" t="s">
        <v>22</v>
      </c>
    </row>
    <row r="201" hidden="1">
      <c r="A201" s="1" t="s">
        <v>576</v>
      </c>
      <c r="B201" s="1" t="s">
        <v>577</v>
      </c>
      <c r="C201" s="1" t="s">
        <v>578</v>
      </c>
      <c r="E201" s="1" t="s">
        <v>13</v>
      </c>
      <c r="F201" s="1" t="s">
        <v>14</v>
      </c>
      <c r="G201" s="1">
        <v>14.0</v>
      </c>
      <c r="H201" s="1">
        <v>14.0</v>
      </c>
      <c r="I201" s="2" t="str">
        <f>"https://datasport-ai.github.io/Milo_Formular/form-active.html?email="&amp;ENCODEURL(A201)</f>
        <v>https://datasport-ai.github.io/Milo_Formular/form-active.html?email=valentin.belz%40yahoo.com</v>
      </c>
      <c r="J201" s="3" t="str">
        <f>IFS(H201/G201&gt;=0.5,"active",H201/G201&lt;0.5,"inactive")</f>
        <v>active</v>
      </c>
    </row>
    <row r="202" hidden="1">
      <c r="A202" s="1" t="s">
        <v>579</v>
      </c>
      <c r="B202" s="1" t="s">
        <v>580</v>
      </c>
      <c r="C202" s="1" t="s">
        <v>581</v>
      </c>
      <c r="D202" s="4">
        <v>46174.17181712963</v>
      </c>
      <c r="E202" s="1" t="s">
        <v>13</v>
      </c>
      <c r="F202" s="1" t="s">
        <v>14</v>
      </c>
      <c r="G202" s="1">
        <v>0.0</v>
      </c>
      <c r="H202" s="1">
        <v>0.0</v>
      </c>
      <c r="I202" s="2" t="str">
        <f t="shared" ref="I202:I206" si="82">"https://datasport-ai.github.io/Milo_Formular/form-inactive.html?email="&amp;ENCODEURL(A202)</f>
        <v>https://datasport-ai.github.io/Milo_Formular/form-inactive.html?email=valerio%40frison.ch</v>
      </c>
      <c r="J202" s="3" t="str">
        <f t="shared" ref="J202:J206" si="83">IFS(G202=0, "inactive")</f>
        <v>inactive</v>
      </c>
    </row>
    <row r="203" hidden="1">
      <c r="A203" s="1" t="s">
        <v>582</v>
      </c>
      <c r="B203" s="1" t="s">
        <v>583</v>
      </c>
      <c r="C203" s="1" t="s">
        <v>584</v>
      </c>
      <c r="D203" s="4">
        <v>46138.718831018516</v>
      </c>
      <c r="E203" s="1" t="s">
        <v>13</v>
      </c>
      <c r="F203" s="1" t="s">
        <v>14</v>
      </c>
      <c r="G203" s="1">
        <v>0.0</v>
      </c>
      <c r="H203" s="1">
        <v>0.0</v>
      </c>
      <c r="I203" s="2" t="str">
        <f t="shared" si="82"/>
        <v>https://datasport-ai.github.io/Milo_Formular/form-inactive.html?email=vinothankumarasamy%40gmail.com</v>
      </c>
      <c r="J203" s="3" t="str">
        <f t="shared" si="83"/>
        <v>inactive</v>
      </c>
    </row>
    <row r="204" hidden="1">
      <c r="A204" s="1" t="s">
        <v>585</v>
      </c>
      <c r="B204" s="1" t="s">
        <v>586</v>
      </c>
      <c r="C204" s="1" t="s">
        <v>587</v>
      </c>
      <c r="D204" s="4">
        <v>46140.15773148148</v>
      </c>
      <c r="E204" s="1" t="s">
        <v>13</v>
      </c>
      <c r="F204" s="1" t="s">
        <v>14</v>
      </c>
      <c r="G204" s="1">
        <v>0.0</v>
      </c>
      <c r="H204" s="1">
        <v>0.0</v>
      </c>
      <c r="I204" s="2" t="str">
        <f t="shared" si="82"/>
        <v>https://datasport-ai.github.io/Milo_Formular/form-inactive.html?email=vivian.kathy.fritschi%40bluewin.ch</v>
      </c>
      <c r="J204" s="3" t="str">
        <f t="shared" si="83"/>
        <v>inactive</v>
      </c>
    </row>
    <row r="205" hidden="1">
      <c r="A205" s="1" t="s">
        <v>588</v>
      </c>
      <c r="B205" s="1" t="s">
        <v>589</v>
      </c>
      <c r="C205" s="1" t="s">
        <v>590</v>
      </c>
      <c r="D205" s="4">
        <v>46125.46979166667</v>
      </c>
      <c r="E205" s="1" t="s">
        <v>13</v>
      </c>
      <c r="F205" s="1" t="s">
        <v>14</v>
      </c>
      <c r="G205" s="1">
        <v>0.0</v>
      </c>
      <c r="H205" s="1">
        <v>0.0</v>
      </c>
      <c r="I205" s="2" t="str">
        <f t="shared" si="82"/>
        <v>https://datasport-ai.github.io/Milo_Formular/form-inactive.html?email=viviane.liselle%40gmail.com</v>
      </c>
      <c r="J205" s="3" t="str">
        <f t="shared" si="83"/>
        <v>inactive</v>
      </c>
    </row>
    <row r="206" hidden="1">
      <c r="A206" s="1" t="s">
        <v>591</v>
      </c>
      <c r="B206" s="1" t="s">
        <v>592</v>
      </c>
      <c r="C206" s="1" t="s">
        <v>593</v>
      </c>
      <c r="D206" s="4">
        <v>46184.49476851852</v>
      </c>
      <c r="E206" s="1" t="s">
        <v>13</v>
      </c>
      <c r="F206" s="1" t="s">
        <v>14</v>
      </c>
      <c r="G206" s="1">
        <v>0.0</v>
      </c>
      <c r="H206" s="1">
        <v>0.0</v>
      </c>
      <c r="I206" s="2" t="str">
        <f t="shared" si="82"/>
        <v>https://datasport-ai.github.io/Milo_Formular/form-inactive.html?email=vivienne.meyer%40gmx.ch</v>
      </c>
      <c r="J206" s="3" t="str">
        <f t="shared" si="83"/>
        <v>inactive</v>
      </c>
    </row>
    <row r="207" hidden="1">
      <c r="A207" s="1" t="s">
        <v>594</v>
      </c>
      <c r="B207" s="1" t="s">
        <v>592</v>
      </c>
      <c r="C207" s="1" t="s">
        <v>595</v>
      </c>
      <c r="D207" s="4">
        <v>46128.35934027778</v>
      </c>
      <c r="E207" s="1" t="s">
        <v>20</v>
      </c>
      <c r="F207" s="1" t="s">
        <v>29</v>
      </c>
      <c r="G207" s="1">
        <v>0.0</v>
      </c>
      <c r="H207" s="1">
        <v>0.0</v>
      </c>
      <c r="I207" s="2" t="str">
        <f>"https://datasport-ai.github.io/Milo_Formular/form-onboarding-dropout.html?email="&amp;ENCODEURL(A207)&amp;"&amp;step="&amp;F207</f>
        <v>https://datasport-ai.github.io/Milo_Formular/form-onboarding-dropout.html?email=vivienne.sieber%40gmx.ch&amp;step=RESULTS_PERMISSION</v>
      </c>
      <c r="J207" s="1" t="s">
        <v>22</v>
      </c>
    </row>
    <row r="208" hidden="1">
      <c r="A208" s="1" t="s">
        <v>596</v>
      </c>
      <c r="B208" s="1" t="s">
        <v>597</v>
      </c>
      <c r="C208" s="1" t="s">
        <v>598</v>
      </c>
      <c r="D208" s="4"/>
      <c r="E208" s="1" t="s">
        <v>13</v>
      </c>
      <c r="F208" s="1" t="s">
        <v>14</v>
      </c>
      <c r="G208" s="1">
        <v>0.0</v>
      </c>
      <c r="H208" s="1">
        <v>0.0</v>
      </c>
      <c r="I208" s="2" t="str">
        <f t="shared" ref="I208:I209" si="84">"https://datasport-ai.github.io/Milo_Formular/form-inactive.html?email="&amp;ENCODEURL(A208)</f>
        <v>https://datasport-ai.github.io/Milo_Formular/form-inactive.html?email=vmurisier%40datasport.com</v>
      </c>
      <c r="J208" s="3" t="str">
        <f t="shared" ref="J208:J209" si="85">IFS(G208=0, "inactive")</f>
        <v>inactive</v>
      </c>
    </row>
    <row r="209" hidden="1">
      <c r="A209" s="1" t="s">
        <v>599</v>
      </c>
      <c r="B209" s="1" t="s">
        <v>600</v>
      </c>
      <c r="C209" s="1" t="s">
        <v>601</v>
      </c>
      <c r="D209" s="4"/>
      <c r="E209" s="1" t="s">
        <v>13</v>
      </c>
      <c r="F209" s="1" t="s">
        <v>14</v>
      </c>
      <c r="G209" s="1">
        <v>0.0</v>
      </c>
      <c r="H209" s="1">
        <v>0.0</v>
      </c>
      <c r="I209" s="2" t="str">
        <f t="shared" si="84"/>
        <v>https://datasport-ai.github.io/Milo_Formular/form-inactive.html?email=walker.manuel%40bluewin.ch</v>
      </c>
      <c r="J209" s="3" t="str">
        <f t="shared" si="85"/>
        <v>inactive</v>
      </c>
    </row>
    <row r="210" hidden="1">
      <c r="A210" s="1" t="s">
        <v>602</v>
      </c>
      <c r="B210" s="1" t="s">
        <v>603</v>
      </c>
      <c r="C210" s="1" t="s">
        <v>604</v>
      </c>
      <c r="E210" s="1" t="s">
        <v>13</v>
      </c>
      <c r="F210" s="1" t="s">
        <v>14</v>
      </c>
      <c r="G210" s="1">
        <v>7.0</v>
      </c>
      <c r="H210" s="1">
        <v>7.0</v>
      </c>
      <c r="I210" s="2" t="str">
        <f>"https://datasport-ai.github.io/Milo_Formular/form-active.html?email="&amp;ENCODEURL(A210)</f>
        <v>https://datasport-ai.github.io/Milo_Formular/form-active.html?email=walter_ruegg%40bluewin.ch</v>
      </c>
      <c r="J210" s="3" t="str">
        <f>IFS(H210/G210&gt;=0.5,"active",H210/G210&lt;0.5,"inactive")</f>
        <v>active</v>
      </c>
    </row>
    <row r="211" hidden="1">
      <c r="A211" s="1" t="s">
        <v>605</v>
      </c>
      <c r="B211" s="1" t="s">
        <v>86</v>
      </c>
      <c r="C211" s="1" t="s">
        <v>606</v>
      </c>
      <c r="D211" s="4">
        <v>46182.20773148148</v>
      </c>
      <c r="E211" s="1" t="s">
        <v>13</v>
      </c>
      <c r="F211" s="1" t="s">
        <v>14</v>
      </c>
      <c r="G211" s="1">
        <v>0.0</v>
      </c>
      <c r="H211" s="1">
        <v>0.0</v>
      </c>
      <c r="I211" s="2" t="str">
        <f t="shared" ref="I211:I217" si="86">"https://datasport-ai.github.io/Milo_Formular/form-inactive.html?email="&amp;ENCODEURL(A211)</f>
        <v>https://datasport-ai.github.io/Milo_Formular/form-inactive.html?email=wittwerch%40gmail.com</v>
      </c>
      <c r="J211" s="3" t="str">
        <f t="shared" ref="J211:J216" si="87">IFS(G211=0, "inactive")</f>
        <v>inactive</v>
      </c>
    </row>
    <row r="212" hidden="1">
      <c r="A212" s="1" t="s">
        <v>607</v>
      </c>
      <c r="B212" s="1" t="s">
        <v>608</v>
      </c>
      <c r="C212" s="1" t="s">
        <v>609</v>
      </c>
      <c r="D212" s="4">
        <v>46114.34821759259</v>
      </c>
      <c r="E212" s="1" t="s">
        <v>13</v>
      </c>
      <c r="F212" s="1" t="s">
        <v>14</v>
      </c>
      <c r="G212" s="1">
        <v>0.0</v>
      </c>
      <c r="H212" s="1">
        <v>0.0</v>
      </c>
      <c r="I212" s="2" t="str">
        <f t="shared" si="86"/>
        <v>https://datasport-ai.github.io/Milo_Formular/form-inactive.html?email=yKononenko%40datasport.com</v>
      </c>
      <c r="J212" s="3" t="str">
        <f t="shared" si="87"/>
        <v>inactive</v>
      </c>
    </row>
    <row r="213" hidden="1">
      <c r="A213" s="1" t="s">
        <v>610</v>
      </c>
      <c r="B213" s="1" t="s">
        <v>611</v>
      </c>
      <c r="C213" s="1" t="s">
        <v>612</v>
      </c>
      <c r="D213" s="4">
        <v>46171.33795138889</v>
      </c>
      <c r="E213" s="1" t="s">
        <v>13</v>
      </c>
      <c r="F213" s="1" t="s">
        <v>14</v>
      </c>
      <c r="G213" s="1">
        <v>0.0</v>
      </c>
      <c r="H213" s="1">
        <v>0.0</v>
      </c>
      <c r="I213" s="2" t="str">
        <f t="shared" si="86"/>
        <v>https://datasport-ai.github.io/Milo_Formular/form-inactive.html?email=yves.gschwend%40gmail.com</v>
      </c>
      <c r="J213" s="3" t="str">
        <f t="shared" si="87"/>
        <v>inactive</v>
      </c>
    </row>
    <row r="214" hidden="1">
      <c r="A214" s="1" t="s">
        <v>613</v>
      </c>
      <c r="B214" s="1" t="s">
        <v>614</v>
      </c>
      <c r="C214" s="1" t="s">
        <v>615</v>
      </c>
      <c r="D214" s="4">
        <v>46156.83076388889</v>
      </c>
      <c r="E214" s="1" t="s">
        <v>13</v>
      </c>
      <c r="F214" s="1" t="s">
        <v>14</v>
      </c>
      <c r="G214" s="1">
        <v>0.0</v>
      </c>
      <c r="H214" s="1">
        <v>0.0</v>
      </c>
      <c r="I214" s="2" t="str">
        <f t="shared" si="86"/>
        <v>https://datasport-ai.github.io/Milo_Formular/form-inactive.html?email=zappyniki%40yahoo.com</v>
      </c>
      <c r="J214" s="3" t="str">
        <f t="shared" si="87"/>
        <v>inactive</v>
      </c>
    </row>
    <row r="215" hidden="1">
      <c r="A215" s="1" t="s">
        <v>616</v>
      </c>
      <c r="B215" s="1" t="s">
        <v>118</v>
      </c>
      <c r="C215" s="1" t="s">
        <v>617</v>
      </c>
      <c r="D215" s="4">
        <v>46113.30064814815</v>
      </c>
      <c r="E215" s="1" t="s">
        <v>13</v>
      </c>
      <c r="F215" s="1" t="s">
        <v>14</v>
      </c>
      <c r="G215" s="1">
        <v>0.0</v>
      </c>
      <c r="H215" s="1">
        <v>0.0</v>
      </c>
      <c r="I215" s="2" t="str">
        <f t="shared" si="86"/>
        <v>https://datasport-ai.github.io/Milo_Formular/form-inactive.html?email=zarg129%40gmail.com</v>
      </c>
      <c r="J215" s="3" t="str">
        <f t="shared" si="87"/>
        <v>inactive</v>
      </c>
    </row>
    <row r="216" hidden="1">
      <c r="A216" s="1" t="s">
        <v>618</v>
      </c>
      <c r="B216" s="1" t="s">
        <v>619</v>
      </c>
      <c r="C216" s="1" t="s">
        <v>620</v>
      </c>
      <c r="D216" s="4">
        <v>46186.76938657407</v>
      </c>
      <c r="E216" s="1" t="s">
        <v>13</v>
      </c>
      <c r="F216" s="1" t="s">
        <v>14</v>
      </c>
      <c r="G216" s="1">
        <v>0.0</v>
      </c>
      <c r="H216" s="1">
        <v>0.0</v>
      </c>
      <c r="I216" s="2" t="str">
        <f t="shared" si="86"/>
        <v>https://datasport-ai.github.io/Milo_Formular/form-inactive.html?email=zeni.patrizia%40gmail.com</v>
      </c>
      <c r="J216" s="3" t="str">
        <f t="shared" si="87"/>
        <v>inactive</v>
      </c>
    </row>
    <row r="217" hidden="1">
      <c r="A217" s="1" t="s">
        <v>621</v>
      </c>
      <c r="B217" s="1" t="s">
        <v>622</v>
      </c>
      <c r="C217" s="1" t="s">
        <v>623</v>
      </c>
      <c r="D217" s="4">
        <v>46169.83704861111</v>
      </c>
      <c r="E217" s="1" t="s">
        <v>13</v>
      </c>
      <c r="F217" s="1" t="s">
        <v>14</v>
      </c>
      <c r="G217" s="1">
        <v>1.0</v>
      </c>
      <c r="H217" s="1">
        <v>0.0</v>
      </c>
      <c r="I217" s="2" t="str">
        <f t="shared" si="86"/>
        <v>https://datasport-ai.github.io/Milo_Formular/form-inactive.html?email=zeynepmeral%40bluewin.ch</v>
      </c>
      <c r="J217" s="3" t="str">
        <f>IFS(H217/G217&gt;=0.5,"active",H217/G217&lt;0.5,"inactive")</f>
        <v>inactive</v>
      </c>
    </row>
  </sheetData>
  <autoFilter ref="$A$1:$J$217">
    <filterColumn colId="5">
      <filters>
        <filter val="CONTACT_PREFERENCES"/>
        <filter val="COMPLETED"/>
      </filters>
    </filterColumn>
    <filterColumn colId="4">
      <filters>
        <filter val="No"/>
      </filters>
    </filterColumn>
  </autoFilter>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63"/>
    <col customWidth="1" min="4" max="4" width="23.13"/>
  </cols>
  <sheetData>
    <row r="1">
      <c r="A1" s="5" t="s">
        <v>624</v>
      </c>
      <c r="B1" s="5" t="s">
        <v>625</v>
      </c>
      <c r="C1" s="5" t="s">
        <v>626</v>
      </c>
      <c r="D1" s="5" t="s">
        <v>627</v>
      </c>
      <c r="E1" s="5" t="s">
        <v>628</v>
      </c>
      <c r="F1" s="5" t="s">
        <v>629</v>
      </c>
      <c r="G1" s="5" t="s">
        <v>630</v>
      </c>
      <c r="H1" s="5" t="s">
        <v>631</v>
      </c>
    </row>
    <row r="2">
      <c r="A2" s="1" t="s">
        <v>632</v>
      </c>
      <c r="B2" s="1" t="s">
        <v>275</v>
      </c>
      <c r="C2" s="1" t="s">
        <v>29</v>
      </c>
      <c r="D2" s="1" t="s">
        <v>633</v>
      </c>
      <c r="E2" s="1" t="s">
        <v>634</v>
      </c>
      <c r="G2" s="1" t="s">
        <v>635</v>
      </c>
    </row>
    <row r="3">
      <c r="A3" s="1" t="s">
        <v>636</v>
      </c>
      <c r="B3" s="1" t="s">
        <v>189</v>
      </c>
      <c r="C3" s="1" t="s">
        <v>29</v>
      </c>
      <c r="D3" s="1" t="s">
        <v>633</v>
      </c>
      <c r="E3" s="1" t="s">
        <v>637</v>
      </c>
      <c r="G3" s="1" t="s">
        <v>638</v>
      </c>
    </row>
    <row r="4">
      <c r="A4" s="1" t="s">
        <v>639</v>
      </c>
      <c r="B4" s="1" t="s">
        <v>332</v>
      </c>
      <c r="C4" s="1" t="s">
        <v>39</v>
      </c>
      <c r="D4" s="1" t="s">
        <v>640</v>
      </c>
      <c r="E4" s="1" t="s">
        <v>641</v>
      </c>
      <c r="G4" s="1" t="s">
        <v>13</v>
      </c>
    </row>
    <row r="5">
      <c r="A5" s="1" t="s">
        <v>642</v>
      </c>
      <c r="B5" s="1" t="s">
        <v>246</v>
      </c>
      <c r="C5" s="1" t="s">
        <v>249</v>
      </c>
      <c r="D5" s="1" t="s">
        <v>643</v>
      </c>
      <c r="E5" s="1" t="s">
        <v>644</v>
      </c>
      <c r="G5" s="1" t="s">
        <v>645</v>
      </c>
    </row>
    <row r="6">
      <c r="A6" s="1" t="s">
        <v>646</v>
      </c>
      <c r="B6" s="1" t="s">
        <v>557</v>
      </c>
      <c r="C6" s="1" t="s">
        <v>560</v>
      </c>
      <c r="D6" s="1" t="s">
        <v>647</v>
      </c>
      <c r="E6" s="1" t="s">
        <v>648</v>
      </c>
      <c r="F6" s="1" t="s">
        <v>649</v>
      </c>
      <c r="G6" s="1" t="s">
        <v>635</v>
      </c>
      <c r="H6" s="1" t="s">
        <v>650</v>
      </c>
    </row>
    <row r="7">
      <c r="A7" s="1" t="s">
        <v>651</v>
      </c>
      <c r="B7" s="1" t="s">
        <v>407</v>
      </c>
      <c r="C7" s="1" t="s">
        <v>39</v>
      </c>
      <c r="D7" s="1" t="s">
        <v>652</v>
      </c>
      <c r="E7" s="1" t="s">
        <v>634</v>
      </c>
      <c r="G7" s="1" t="s">
        <v>635</v>
      </c>
      <c r="H7" s="1" t="s">
        <v>653</v>
      </c>
    </row>
    <row r="8">
      <c r="A8" s="1" t="s">
        <v>654</v>
      </c>
      <c r="B8" s="1" t="s">
        <v>457</v>
      </c>
      <c r="C8" s="1" t="s">
        <v>39</v>
      </c>
      <c r="D8" s="1" t="s">
        <v>652</v>
      </c>
      <c r="E8" s="1" t="s">
        <v>634</v>
      </c>
      <c r="G8" s="1" t="s">
        <v>645</v>
      </c>
    </row>
    <row r="9">
      <c r="A9" s="1" t="s">
        <v>655</v>
      </c>
      <c r="B9" s="1" t="s">
        <v>529</v>
      </c>
      <c r="C9" s="1" t="s">
        <v>150</v>
      </c>
      <c r="D9" s="1" t="s">
        <v>656</v>
      </c>
      <c r="E9" s="1" t="s">
        <v>634</v>
      </c>
      <c r="G9" s="1" t="s">
        <v>635</v>
      </c>
    </row>
    <row r="10">
      <c r="A10" s="1" t="s">
        <v>657</v>
      </c>
      <c r="B10" s="1" t="s">
        <v>205</v>
      </c>
      <c r="C10" s="1" t="s">
        <v>208</v>
      </c>
      <c r="D10" s="1" t="s">
        <v>658</v>
      </c>
      <c r="E10" s="1" t="s">
        <v>659</v>
      </c>
      <c r="G10" s="1" t="s">
        <v>635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 customWidth="1" min="4" max="4" width="80.75"/>
    <col customWidth="1" min="5" max="5" width="38.25"/>
  </cols>
  <sheetData>
    <row r="1">
      <c r="A1" s="5" t="s">
        <v>624</v>
      </c>
      <c r="B1" s="5" t="s">
        <v>625</v>
      </c>
      <c r="C1" s="5" t="s">
        <v>660</v>
      </c>
      <c r="D1" s="5" t="s">
        <v>661</v>
      </c>
      <c r="E1" s="5" t="s">
        <v>662</v>
      </c>
      <c r="F1" s="5" t="s">
        <v>663</v>
      </c>
      <c r="G1" s="5" t="s">
        <v>664</v>
      </c>
    </row>
    <row r="2">
      <c r="A2" s="1" t="s">
        <v>665</v>
      </c>
      <c r="B2" s="1" t="s">
        <v>406</v>
      </c>
      <c r="C2" s="1" t="s">
        <v>666</v>
      </c>
      <c r="E2" s="1" t="s">
        <v>667</v>
      </c>
      <c r="F2" s="1" t="s">
        <v>668</v>
      </c>
      <c r="G2" s="1" t="s">
        <v>669</v>
      </c>
    </row>
    <row r="3">
      <c r="A3" s="1" t="s">
        <v>670</v>
      </c>
      <c r="B3" s="1" t="s">
        <v>471</v>
      </c>
      <c r="C3" s="1" t="s">
        <v>671</v>
      </c>
      <c r="D3" s="1" t="s">
        <v>672</v>
      </c>
      <c r="E3" s="1" t="s">
        <v>673</v>
      </c>
      <c r="G3" s="1" t="s">
        <v>674</v>
      </c>
    </row>
    <row r="4">
      <c r="A4" s="1" t="s">
        <v>675</v>
      </c>
      <c r="B4" s="1" t="s">
        <v>605</v>
      </c>
      <c r="C4" s="1" t="s">
        <v>676</v>
      </c>
      <c r="D4" s="1" t="s">
        <v>677</v>
      </c>
      <c r="E4" s="1" t="s">
        <v>678</v>
      </c>
      <c r="F4" s="1" t="s">
        <v>679</v>
      </c>
      <c r="G4" s="1" t="s">
        <v>674</v>
      </c>
    </row>
    <row r="5">
      <c r="A5" s="1" t="s">
        <v>680</v>
      </c>
      <c r="B5" s="1" t="s">
        <v>103</v>
      </c>
      <c r="C5" s="1" t="s">
        <v>671</v>
      </c>
      <c r="D5" s="1" t="s">
        <v>681</v>
      </c>
      <c r="E5" s="1" t="s">
        <v>682</v>
      </c>
      <c r="G5" s="1" t="s">
        <v>674</v>
      </c>
    </row>
    <row r="6">
      <c r="A6" s="1" t="s">
        <v>683</v>
      </c>
      <c r="B6" s="1" t="s">
        <v>108</v>
      </c>
      <c r="C6" s="1" t="s">
        <v>684</v>
      </c>
      <c r="D6" s="1" t="s">
        <v>685</v>
      </c>
      <c r="E6" s="1" t="s">
        <v>686</v>
      </c>
      <c r="G6" s="1" t="s">
        <v>674</v>
      </c>
    </row>
    <row r="7">
      <c r="A7" s="1" t="s">
        <v>687</v>
      </c>
      <c r="B7" s="1" t="s">
        <v>209</v>
      </c>
      <c r="C7" s="1" t="s">
        <v>676</v>
      </c>
      <c r="D7" s="1" t="s">
        <v>688</v>
      </c>
      <c r="F7" s="1" t="s">
        <v>689</v>
      </c>
    </row>
    <row r="8">
      <c r="A8" s="1" t="s">
        <v>690</v>
      </c>
      <c r="B8" s="1" t="s">
        <v>474</v>
      </c>
      <c r="C8" s="1" t="s">
        <v>671</v>
      </c>
      <c r="D8" s="1" t="s">
        <v>691</v>
      </c>
      <c r="E8" s="1" t="s">
        <v>692</v>
      </c>
      <c r="G8" s="1" t="s">
        <v>674</v>
      </c>
    </row>
    <row r="9">
      <c r="A9" s="1" t="s">
        <v>693</v>
      </c>
      <c r="B9" s="1" t="s">
        <v>239</v>
      </c>
      <c r="C9" s="1" t="s">
        <v>694</v>
      </c>
    </row>
    <row r="10">
      <c r="A10" s="1" t="s">
        <v>695</v>
      </c>
      <c r="B10" s="1" t="s">
        <v>233</v>
      </c>
      <c r="C10" s="1" t="s">
        <v>676</v>
      </c>
      <c r="E10" s="1" t="s">
        <v>696</v>
      </c>
      <c r="G10" s="1" t="s">
        <v>674</v>
      </c>
    </row>
    <row r="11">
      <c r="A11" s="1" t="s">
        <v>697</v>
      </c>
      <c r="B11" s="1" t="s">
        <v>621</v>
      </c>
      <c r="C11" s="1" t="s">
        <v>637</v>
      </c>
      <c r="D11" s="1" t="s">
        <v>698</v>
      </c>
      <c r="E11" s="1" t="s">
        <v>699</v>
      </c>
      <c r="G11" s="1" t="s">
        <v>674</v>
      </c>
    </row>
    <row r="12">
      <c r="A12" s="1" t="s">
        <v>700</v>
      </c>
      <c r="B12" s="1" t="s">
        <v>233</v>
      </c>
      <c r="C12" s="1" t="s">
        <v>676</v>
      </c>
    </row>
    <row r="13">
      <c r="A13" s="1" t="s">
        <v>701</v>
      </c>
      <c r="B13" s="1" t="s">
        <v>166</v>
      </c>
      <c r="C13" s="1" t="s">
        <v>637</v>
      </c>
      <c r="E13" s="1" t="s">
        <v>702</v>
      </c>
      <c r="G13" s="1" t="s">
        <v>674</v>
      </c>
    </row>
    <row r="14">
      <c r="A14" s="1" t="s">
        <v>703</v>
      </c>
      <c r="B14" s="1" t="s">
        <v>54</v>
      </c>
      <c r="C14" s="1" t="s">
        <v>694</v>
      </c>
      <c r="E14" s="1" t="s">
        <v>704</v>
      </c>
      <c r="F14" s="1" t="s">
        <v>635</v>
      </c>
      <c r="G14" s="1" t="s">
        <v>669</v>
      </c>
    </row>
    <row r="15">
      <c r="A15" s="1" t="s">
        <v>705</v>
      </c>
      <c r="B15" s="1" t="s">
        <v>552</v>
      </c>
      <c r="C15" s="1" t="s">
        <v>666</v>
      </c>
      <c r="E15" s="1" t="s">
        <v>706</v>
      </c>
      <c r="G15" s="1" t="s">
        <v>669</v>
      </c>
    </row>
    <row r="16">
      <c r="A16" s="1" t="s">
        <v>707</v>
      </c>
      <c r="B16" s="1" t="s">
        <v>552</v>
      </c>
      <c r="C16" s="1" t="s">
        <v>671</v>
      </c>
      <c r="D16" s="1" t="s">
        <v>708</v>
      </c>
      <c r="E16" s="1" t="s">
        <v>709</v>
      </c>
      <c r="F16" s="1" t="s">
        <v>710</v>
      </c>
    </row>
    <row r="17">
      <c r="A17" s="1" t="s">
        <v>711</v>
      </c>
      <c r="B17" s="1" t="s">
        <v>250</v>
      </c>
      <c r="C17" s="1" t="s">
        <v>712</v>
      </c>
      <c r="D17" s="1" t="s">
        <v>713</v>
      </c>
      <c r="E17" s="1" t="s">
        <v>714</v>
      </c>
      <c r="F17" s="1" t="s">
        <v>715</v>
      </c>
    </row>
    <row r="18">
      <c r="A18" s="1" t="s">
        <v>716</v>
      </c>
      <c r="B18" s="1" t="s">
        <v>142</v>
      </c>
      <c r="C18" s="1" t="s">
        <v>694</v>
      </c>
      <c r="E18" s="1" t="s">
        <v>717</v>
      </c>
      <c r="F18" s="1" t="s">
        <v>718</v>
      </c>
      <c r="G18" s="1" t="s">
        <v>674</v>
      </c>
    </row>
    <row r="19">
      <c r="A19" s="1" t="s">
        <v>719</v>
      </c>
      <c r="B19" s="1" t="s">
        <v>454</v>
      </c>
      <c r="C19" s="1" t="s">
        <v>671</v>
      </c>
      <c r="D19" s="1" t="s">
        <v>720</v>
      </c>
    </row>
    <row r="20">
      <c r="A20" s="1" t="s">
        <v>721</v>
      </c>
      <c r="B20" s="1" t="s">
        <v>422</v>
      </c>
      <c r="C20" s="1" t="s">
        <v>722</v>
      </c>
      <c r="D20" s="1" t="s">
        <v>723</v>
      </c>
      <c r="E20" s="1" t="s">
        <v>724</v>
      </c>
      <c r="F20" s="1" t="s">
        <v>725</v>
      </c>
      <c r="G20" s="1" t="s">
        <v>674</v>
      </c>
    </row>
    <row r="21">
      <c r="A21" s="1" t="s">
        <v>726</v>
      </c>
      <c r="B21" s="1" t="s">
        <v>151</v>
      </c>
      <c r="C21" s="1" t="s">
        <v>727</v>
      </c>
      <c r="E21" s="1" t="s">
        <v>728</v>
      </c>
      <c r="F21" s="1" t="s">
        <v>729</v>
      </c>
      <c r="G21" s="1" t="s">
        <v>669</v>
      </c>
    </row>
    <row r="22">
      <c r="A22" s="1" t="s">
        <v>730</v>
      </c>
      <c r="B22" s="1" t="s">
        <v>477</v>
      </c>
      <c r="C22" s="1" t="s">
        <v>694</v>
      </c>
    </row>
    <row r="23">
      <c r="A23" s="1" t="s">
        <v>731</v>
      </c>
      <c r="B23" s="1" t="s">
        <v>133</v>
      </c>
      <c r="C23" s="1" t="s">
        <v>694</v>
      </c>
      <c r="E23" s="1" t="s">
        <v>732</v>
      </c>
      <c r="F23" s="1" t="s">
        <v>733</v>
      </c>
      <c r="G23" s="1" t="s">
        <v>669</v>
      </c>
    </row>
    <row r="24">
      <c r="A24" s="1" t="s">
        <v>734</v>
      </c>
      <c r="B24" s="1" t="s">
        <v>486</v>
      </c>
      <c r="C24" s="1" t="s">
        <v>694</v>
      </c>
      <c r="E24" s="1" t="s">
        <v>735</v>
      </c>
      <c r="F24" s="1" t="s">
        <v>736</v>
      </c>
      <c r="G24" s="1" t="s">
        <v>674</v>
      </c>
    </row>
    <row r="25">
      <c r="A25" s="1" t="s">
        <v>737</v>
      </c>
      <c r="B25" s="1" t="s">
        <v>142</v>
      </c>
      <c r="C25" s="1" t="s">
        <v>694</v>
      </c>
      <c r="E25" s="1" t="s">
        <v>738</v>
      </c>
      <c r="G25" s="1" t="s">
        <v>674</v>
      </c>
    </row>
    <row r="26">
      <c r="A26" s="1" t="s">
        <v>739</v>
      </c>
      <c r="B26" s="1" t="s">
        <v>513</v>
      </c>
      <c r="C26" s="1" t="s">
        <v>694</v>
      </c>
      <c r="E26" s="1" t="s">
        <v>740</v>
      </c>
      <c r="G26" s="1" t="s">
        <v>674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50.38"/>
  </cols>
  <sheetData>
    <row r="1">
      <c r="A1" s="5" t="s">
        <v>624</v>
      </c>
      <c r="B1" s="5" t="s">
        <v>625</v>
      </c>
      <c r="C1" s="5" t="s">
        <v>741</v>
      </c>
      <c r="D1" s="5" t="s">
        <v>742</v>
      </c>
      <c r="E1" s="5" t="s">
        <v>661</v>
      </c>
      <c r="F1" s="5" t="s">
        <v>743</v>
      </c>
      <c r="G1" s="5" t="s">
        <v>744</v>
      </c>
    </row>
    <row r="2">
      <c r="A2" s="1" t="s">
        <v>745</v>
      </c>
      <c r="B2" s="1" t="s">
        <v>746</v>
      </c>
      <c r="C2" s="6">
        <v>10.0</v>
      </c>
      <c r="D2" s="1" t="s">
        <v>747</v>
      </c>
      <c r="F2" s="1" t="s">
        <v>748</v>
      </c>
      <c r="G2" s="1" t="s">
        <v>749</v>
      </c>
    </row>
    <row r="3">
      <c r="A3" s="1" t="s">
        <v>750</v>
      </c>
      <c r="B3" s="1" t="s">
        <v>389</v>
      </c>
      <c r="C3" s="6">
        <v>9.0</v>
      </c>
      <c r="D3" s="1" t="s">
        <v>751</v>
      </c>
      <c r="E3" s="1" t="s">
        <v>752</v>
      </c>
      <c r="F3" s="1" t="s">
        <v>753</v>
      </c>
      <c r="G3" s="1" t="s">
        <v>754</v>
      </c>
    </row>
    <row r="4">
      <c r="A4" s="1" t="s">
        <v>755</v>
      </c>
      <c r="B4" s="1" t="s">
        <v>564</v>
      </c>
      <c r="C4" s="6">
        <v>5.0</v>
      </c>
      <c r="D4" s="1" t="s">
        <v>751</v>
      </c>
      <c r="F4" s="1" t="s">
        <v>756</v>
      </c>
      <c r="G4" s="1" t="s">
        <v>757</v>
      </c>
    </row>
    <row r="5">
      <c r="A5" s="1" t="s">
        <v>758</v>
      </c>
      <c r="B5" s="1" t="s">
        <v>79</v>
      </c>
      <c r="C5" s="6">
        <v>7.0</v>
      </c>
      <c r="D5" s="1" t="s">
        <v>751</v>
      </c>
      <c r="E5" s="1" t="s">
        <v>759</v>
      </c>
      <c r="F5" s="1" t="s">
        <v>760</v>
      </c>
      <c r="G5" s="1" t="s">
        <v>761</v>
      </c>
    </row>
    <row r="6">
      <c r="A6" s="1" t="s">
        <v>762</v>
      </c>
      <c r="B6" s="1" t="s">
        <v>320</v>
      </c>
      <c r="C6" s="6">
        <v>2.0</v>
      </c>
      <c r="D6" s="1" t="s">
        <v>635</v>
      </c>
      <c r="E6" s="1" t="s">
        <v>763</v>
      </c>
      <c r="F6" s="1" t="s">
        <v>764</v>
      </c>
      <c r="G6" s="1" t="s">
        <v>765</v>
      </c>
    </row>
    <row r="7">
      <c r="A7" s="1" t="s">
        <v>766</v>
      </c>
      <c r="B7" s="1" t="s">
        <v>602</v>
      </c>
      <c r="C7" s="6">
        <v>3.0</v>
      </c>
      <c r="D7" s="1" t="s">
        <v>747</v>
      </c>
      <c r="E7" s="1" t="s">
        <v>767</v>
      </c>
      <c r="F7" s="1" t="s">
        <v>768</v>
      </c>
      <c r="G7" s="1" t="s">
        <v>769</v>
      </c>
    </row>
    <row r="8">
      <c r="A8" s="1" t="s">
        <v>770</v>
      </c>
      <c r="B8" s="1" t="s">
        <v>128</v>
      </c>
      <c r="C8" s="6">
        <v>6.0</v>
      </c>
      <c r="D8" s="1" t="s">
        <v>751</v>
      </c>
      <c r="E8" s="1" t="s">
        <v>771</v>
      </c>
      <c r="F8" s="1" t="s">
        <v>772</v>
      </c>
      <c r="G8" s="1" t="s">
        <v>773</v>
      </c>
    </row>
    <row r="9">
      <c r="A9" s="1" t="s">
        <v>774</v>
      </c>
      <c r="B9" s="1" t="s">
        <v>460</v>
      </c>
      <c r="C9" s="6">
        <v>9.0</v>
      </c>
      <c r="D9" s="1" t="s">
        <v>747</v>
      </c>
      <c r="E9" s="1" t="s">
        <v>775</v>
      </c>
      <c r="F9" s="1" t="s">
        <v>776</v>
      </c>
      <c r="G9" s="1" t="s">
        <v>777</v>
      </c>
    </row>
    <row r="10">
      <c r="A10" s="1" t="s">
        <v>778</v>
      </c>
      <c r="B10" s="1" t="s">
        <v>128</v>
      </c>
      <c r="C10" s="6">
        <v>8.0</v>
      </c>
      <c r="D10" s="1" t="s">
        <v>779</v>
      </c>
      <c r="E10" s="1" t="s">
        <v>780</v>
      </c>
      <c r="F10" s="1" t="s">
        <v>781</v>
      </c>
      <c r="G10" s="1" t="s">
        <v>782</v>
      </c>
    </row>
  </sheetData>
  <drawing r:id="rId1"/>
</worksheet>
</file>